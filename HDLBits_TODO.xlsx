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Z\Desktop\HDLBITS\"/>
    </mc:Choice>
  </mc:AlternateContent>
  <xr:revisionPtr revIDLastSave="0" documentId="13_ncr:1_{F2E9D510-E8D7-4BD3-9306-62A48C6DBBEC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学习总览" sheetId="1" r:id="rId1"/>
    <sheet name="学习TODO" sheetId="2" r:id="rId2"/>
    <sheet name="状态选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G5" i="1"/>
  <c r="F5" i="1"/>
  <c r="D5" i="1"/>
  <c r="C5" i="1"/>
  <c r="B5" i="1"/>
  <c r="A5" i="1"/>
  <c r="D9" i="1" l="1"/>
  <c r="D12" i="1"/>
  <c r="D13" i="1"/>
  <c r="D11" i="1"/>
  <c r="E5" i="1"/>
  <c r="D14" i="1"/>
  <c r="D15" i="1"/>
  <c r="D16" i="1"/>
  <c r="D17" i="1"/>
  <c r="D10" i="1"/>
  <c r="D18" i="1"/>
  <c r="H5" i="1"/>
</calcChain>
</file>

<file path=xl/sharedStrings.xml><?xml version="1.0" encoding="utf-8"?>
<sst xmlns="http://schemas.openxmlformats.org/spreadsheetml/2006/main" count="768" uniqueCount="384">
  <si>
    <t>数字逻辑 + HDLBits 学习进度总览</t>
  </si>
  <si>
    <t>状态只需在「学习TODO」中修改，本页统计会自动更新。</t>
  </si>
  <si>
    <t>总任务数</t>
  </si>
  <si>
    <t>已完成</t>
  </si>
  <si>
    <t>进行中</t>
  </si>
  <si>
    <t>未开始</t>
  </si>
  <si>
    <t>总完成率</t>
  </si>
  <si>
    <t>最高优先级完成率</t>
  </si>
  <si>
    <t>高优先级完成率</t>
  </si>
  <si>
    <t>核心章节完成率(2-6章)</t>
  </si>
  <si>
    <t>章节</t>
  </si>
  <si>
    <t>任务数</t>
  </si>
  <si>
    <t>完成率</t>
  </si>
  <si>
    <t>学习阶段</t>
  </si>
  <si>
    <t>建议顺序</t>
  </si>
  <si>
    <t>说明</t>
  </si>
  <si>
    <t>第2章</t>
  </si>
  <si>
    <t>阶段1</t>
  </si>
  <si>
    <t>第2章 2.1–2.10</t>
  </si>
  <si>
    <t>逻辑门、布尔代数、Verilog 基础</t>
  </si>
  <si>
    <t>第3章</t>
  </si>
  <si>
    <t>阶段2</t>
  </si>
  <si>
    <t>第2章 2.11–2.15</t>
  </si>
  <si>
    <t>K-map、SOP/POS、多输出</t>
  </si>
  <si>
    <t>第4章</t>
  </si>
  <si>
    <t>阶段3</t>
  </si>
  <si>
    <t>算术电路</t>
  </si>
  <si>
    <t>第5章</t>
  </si>
  <si>
    <t>阶段4</t>
  </si>
  <si>
    <t>MUX / 编码译码 / case / latch</t>
  </si>
  <si>
    <t>第6章</t>
  </si>
  <si>
    <t>阶段5</t>
  </si>
  <si>
    <t>触发器、寄存器、计数器、移位</t>
  </si>
  <si>
    <t>第7章</t>
  </si>
  <si>
    <t>阶段6</t>
  </si>
  <si>
    <t>FSM 主战场</t>
  </si>
  <si>
    <t>第8章</t>
  </si>
  <si>
    <t>阶段7</t>
  </si>
  <si>
    <t>大型电路与系统化设计</t>
  </si>
  <si>
    <t>第9章</t>
  </si>
  <si>
    <t>阶段8</t>
  </si>
  <si>
    <t>第8–11章</t>
  </si>
  <si>
    <t>工程与扩展知识，后补</t>
  </si>
  <si>
    <t>第10章</t>
  </si>
  <si>
    <t>第11章</t>
  </si>
  <si>
    <t>《数字逻辑基础与 Verilog 设计》 × HDLBits 学习 TODO</t>
  </si>
  <si>
    <t>使用方法：完成“看懂书本知识点 + 对应 HDLBits 做完并订正”后，将状态改为「已完成」；总览会自动统计进度。</t>
  </si>
  <si>
    <t>序号</t>
  </si>
  <si>
    <t>书本章节</t>
  </si>
  <si>
    <t>小节 / 知识点</t>
  </si>
  <si>
    <t>学习目标</t>
  </si>
  <si>
    <t>HDLBits 分类</t>
  </si>
  <si>
    <t>对应题目</t>
  </si>
  <si>
    <t>相关性</t>
  </si>
  <si>
    <t>优先级</t>
  </si>
  <si>
    <t>验收标准 / 建议</t>
  </si>
  <si>
    <t>状态</t>
  </si>
  <si>
    <t>完成日期</t>
  </si>
  <si>
    <t>备注</t>
  </si>
  <si>
    <t>参考链接</t>
  </si>
  <si>
    <t>2.1 变量与函数</t>
  </si>
  <si>
    <t>理解逻辑变量、0/1与逻辑函数</t>
  </si>
  <si>
    <t>Verilog Language / Basics</t>
  </si>
  <si>
    <t>Simple wire；Four wires</t>
  </si>
  <si>
    <t>★★★</t>
  </si>
  <si>
    <t>高</t>
  </si>
  <si>
    <t>看懂定义并能独立写最基本连线</t>
  </si>
  <si>
    <t>https://hdlbits.01xz.net/wiki/Problem_sets</t>
  </si>
  <si>
    <t>2.2 反相</t>
  </si>
  <si>
    <t>掌握 NOT 运算与反相器</t>
  </si>
  <si>
    <t>Basic Gates</t>
  </si>
  <si>
    <t>★★★★★</t>
  </si>
  <si>
    <t>能从表达式直接写 assign</t>
  </si>
  <si>
    <t>2.3 真值表</t>
  </si>
  <si>
    <t>会由真值表得到逻辑函数</t>
  </si>
  <si>
    <t>Basic Gates / Combinational</t>
  </si>
  <si>
    <t>Truth tables；Two-bit equality</t>
  </si>
  <si>
    <t>能自己列真值表并写出逻辑</t>
  </si>
  <si>
    <t>2.4 逻辑门和网络</t>
  </si>
  <si>
    <t>掌握 AND/OR/XOR/NOR/XNOR 及组合网络</t>
  </si>
  <si>
    <t>所有基本门题独立完成</t>
  </si>
  <si>
    <t>2.5 布尔代数</t>
  </si>
  <si>
    <t>掌握恒等式、吸收律、分配律、德摩根</t>
  </si>
  <si>
    <t>最高</t>
  </si>
  <si>
    <t>能手工化简并解释每一步</t>
  </si>
  <si>
    <t>2.6 与/或/非门综合</t>
  </si>
  <si>
    <t>从文字需求得到表达式和电路</t>
  </si>
  <si>
    <t>Combinational Logic</t>
  </si>
  <si>
    <t>需求→真值表→表达式→Verilog</t>
  </si>
  <si>
    <t>2.7 NAND/NOR 网络</t>
  </si>
  <si>
    <t>用 NAND/NOR 实现一般逻辑</t>
  </si>
  <si>
    <t>NOR；7420 chip；NAND 类题</t>
  </si>
  <si>
    <t>★★★★</t>
  </si>
  <si>
    <t>中</t>
  </si>
  <si>
    <t>能用德摩根互换实现方式</t>
  </si>
  <si>
    <t>2.8 设计实例</t>
  </si>
  <si>
    <t>综合使用组合逻辑设计流程</t>
  </si>
  <si>
    <t>Thermostat；Ring or vibrate?；3-bit population count</t>
  </si>
  <si>
    <t>不看答案完成完整设计流程</t>
  </si>
  <si>
    <t>2.10 Verilog 简介</t>
  </si>
  <si>
    <t>掌握 module/assign/wire/always 基础</t>
  </si>
  <si>
    <t>Verilog Language</t>
  </si>
  <si>
    <t>Simple wire；Inverter；AND gate；Declaring wires；Always blocks(combinational)</t>
  </si>
  <si>
    <t>能独立写简单组合模块</t>
  </si>
  <si>
    <t>2.11 最简化与卡诺图</t>
  </si>
  <si>
    <t>掌握 3/4 变量 K-map 化简</t>
  </si>
  <si>
    <t>Karnaugh Map to Circuit</t>
  </si>
  <si>
    <t>3-variable；4-variable 系列；Karnaugh map</t>
  </si>
  <si>
    <t>K-map 题全部独立完成</t>
  </si>
  <si>
    <t>2.12 最小化策略</t>
  </si>
  <si>
    <t>比较不同化简形式</t>
  </si>
  <si>
    <t>Minimum SOP and POS；Karnaugh map</t>
  </si>
  <si>
    <t>能判断最简 SOP/POS</t>
  </si>
  <si>
    <t>2.13 SOP/POS 最简式</t>
  </si>
  <si>
    <t>掌握与或式、或与式转换</t>
  </si>
  <si>
    <t>Minimum SOP and POS</t>
  </si>
  <si>
    <t>能从真值表写 SOP/POS</t>
  </si>
  <si>
    <t>2.14 无关项 Don't Care</t>
  </si>
  <si>
    <t>理解 X / don't-care 在化简中的用途</t>
  </si>
  <si>
    <t>Karnaugh map with don't-care 类题</t>
  </si>
  <si>
    <t>能正确利用无关项扩大圈</t>
  </si>
  <si>
    <t>2.15 多输出电路</t>
  </si>
  <si>
    <t>理解共享逻辑与多输出组合电路</t>
  </si>
  <si>
    <t>Basic Gates / Vectors</t>
  </si>
  <si>
    <t>7458 chip；More logic gates；Gates and vectors</t>
  </si>
  <si>
    <t>能读懂多输出逻辑网络</t>
  </si>
  <si>
    <t>3.1 数的表示</t>
  </si>
  <si>
    <t>理解位宽、无符号/有符号、向量</t>
  </si>
  <si>
    <t>Vectors</t>
  </si>
  <si>
    <t>Vectors；Vector part select</t>
  </si>
  <si>
    <t>熟悉位宽、切片、拼接</t>
  </si>
  <si>
    <t>3.2 无符号加法</t>
  </si>
  <si>
    <t>理解半加器/全加器/串行进位</t>
  </si>
  <si>
    <t>Arithmetic Circuits</t>
  </si>
  <si>
    <t>Half adder；Full adder；3-bit binary adder；Adder</t>
  </si>
  <si>
    <t>能结构化实现多位加法器</t>
  </si>
  <si>
    <t>3.3 有符号数与补码</t>
  </si>
  <si>
    <t>掌握补码、加减法和溢出</t>
  </si>
  <si>
    <t>Adder-subtractor；Signed addition overflow</t>
  </si>
  <si>
    <t>能解释 overflow 条件</t>
  </si>
  <si>
    <t>3.4 快速加法器</t>
  </si>
  <si>
    <t>理解进位链和快速加法思想</t>
  </si>
  <si>
    <t>Carry-select adder；100-bit binary adder</t>
  </si>
  <si>
    <t>理解结构优先，不要求手推所有门</t>
  </si>
  <si>
    <t>3.5 Verilog 算术电路</t>
  </si>
  <si>
    <t>用 RTL 描述算术功能</t>
  </si>
  <si>
    <t>Adder 1；Adder 2；100-bit binary adder</t>
  </si>
  <si>
    <t>熟练 +、-、位宽与进位处理</t>
  </si>
  <si>
    <t>3.6 乘法</t>
  </si>
  <si>
    <t>理解组合乘法基本原理</t>
  </si>
  <si>
    <t>扩展练习</t>
  </si>
  <si>
    <t>HDLBits 无集中对应题</t>
  </si>
  <si>
    <t>★★</t>
  </si>
  <si>
    <t>低</t>
  </si>
  <si>
    <t>书本理解为主，可后续项目补充</t>
  </si>
  <si>
    <t>3.7 BCD/其他数表示</t>
  </si>
  <si>
    <t>理解 BCD 加法及修正</t>
  </si>
  <si>
    <t>4-digit BCD adder；100-digit BCD adder</t>
  </si>
  <si>
    <t>能解释为什么超过9要加6</t>
  </si>
  <si>
    <t>4.1 多路选择器 MUX</t>
  </si>
  <si>
    <t>掌握选择器结构与条件选择</t>
  </si>
  <si>
    <t>Multiplexers</t>
  </si>
  <si>
    <t>2-to-1 mux；bus mux；9-to-1；256-to-1；256-to-1 4-bit</t>
  </si>
  <si>
    <t>MUX 系列全部做</t>
  </si>
  <si>
    <t>4.1 MUX 的 Verilog 写法</t>
  </si>
  <si>
    <t>掌握 ?: / if / case 三种描述</t>
  </si>
  <si>
    <t>Procedures</t>
  </si>
  <si>
    <t>Conditional ternary；If statement；Case statement</t>
  </si>
  <si>
    <t>同一 MUX 至少会两种写法</t>
  </si>
  <si>
    <t>4.2 译码器 Decoder</t>
  </si>
  <si>
    <t>理解 one-hot 输出与译码</t>
  </si>
  <si>
    <t>Combinational / Procedures</t>
  </si>
  <si>
    <t>Truth tables；Case statement</t>
  </si>
  <si>
    <t>能由输入编码生成独热输出</t>
  </si>
  <si>
    <t>4.3 编码器 Encoder</t>
  </si>
  <si>
    <t>理解优先级编码器</t>
  </si>
  <si>
    <t>Priority encoder；Priority encoder with casez</t>
  </si>
  <si>
    <t>搞懂 casez 和优先级</t>
  </si>
  <si>
    <t>4.4 代码转换器</t>
  </si>
  <si>
    <t>理解组合映射和查表实现</t>
  </si>
  <si>
    <t>能用 case 写映射表</t>
  </si>
  <si>
    <t>4.5 比较器</t>
  </si>
  <si>
    <t>掌握相等/大小比较</t>
  </si>
  <si>
    <t>Two-bit equality</t>
  </si>
  <si>
    <t>会写 == 及门级等价逻辑</t>
  </si>
  <si>
    <t>4.6 always@(*) 组合逻辑</t>
  </si>
  <si>
    <t>正确使用组合 always</t>
  </si>
  <si>
    <t>Always blocks(combinational)；If statement；Case statement</t>
  </si>
  <si>
    <t>组合块使用阻塞赋值，赋值完整</t>
  </si>
  <si>
    <t>4.6 避免 Latch</t>
  </si>
  <si>
    <t>理解不完整赋值导致锁存器</t>
  </si>
  <si>
    <t>If statement latches；Avoiding latches</t>
  </si>
  <si>
    <t>看到代码能判断是否推导 latch</t>
  </si>
  <si>
    <t>5.1 基本锁存器</t>
  </si>
  <si>
    <t>理解反馈和锁存状态</t>
  </si>
  <si>
    <t>Latches and Flip-Flops</t>
  </si>
  <si>
    <t>D Latch；If statement latches</t>
  </si>
  <si>
    <t>理解 latch 与 FF 的差别</t>
  </si>
  <si>
    <t>5.2 SR 锁存器</t>
  </si>
  <si>
    <t>理解置位/复位及非法状态</t>
  </si>
  <si>
    <t>基础理论</t>
  </si>
  <si>
    <t>HDLBits 无强对应题</t>
  </si>
  <si>
    <t>会画基本状态变化即可</t>
  </si>
  <si>
    <t>5.3 D 锁存器</t>
  </si>
  <si>
    <t>理解电平敏感存储</t>
  </si>
  <si>
    <t>D Latch</t>
  </si>
  <si>
    <t>能解释透明期</t>
  </si>
  <si>
    <t>5.4 D 触发器</t>
  </si>
  <si>
    <t>掌握 posedge/negedge 时序存储</t>
  </si>
  <si>
    <t>D flip-flop；D flip-flops；DFF；DFF+gate</t>
  </si>
  <si>
    <t>DFF 系列全部独立完成</t>
  </si>
  <si>
    <t>5.5 T 触发器</t>
  </si>
  <si>
    <t>理解翻转功能及计数联系</t>
  </si>
  <si>
    <t>Sequential Logic</t>
  </si>
  <si>
    <t>T flip-flop / Counter 类题</t>
  </si>
  <si>
    <t>理解 T=1 每拍翻转</t>
  </si>
  <si>
    <t>5.6 JK 触发器</t>
  </si>
  <si>
    <t>理解 JK 功能与状态转换</t>
  </si>
  <si>
    <t>理解真值表即可</t>
  </si>
  <si>
    <t>5.8 寄存器</t>
  </si>
  <si>
    <t>掌握多位 DFF、enable 和数据保持</t>
  </si>
  <si>
    <t>Latches and Flip-Flops / Shift Registers</t>
  </si>
  <si>
    <t>DFF with byte enable；Edge capture register；Shift register</t>
  </si>
  <si>
    <t>会写 enable 型寄存器</t>
  </si>
  <si>
    <t>5.9 计数器</t>
  </si>
  <si>
    <t>掌握二进制/十进制/范围计数</t>
  </si>
  <si>
    <t>Counters</t>
  </si>
  <si>
    <t>4-bit counter；Decade counter；Counter 1-12；Counter 1000；4-digit decimal counter；12-hour clock</t>
  </si>
  <si>
    <t>Counters 整组做完</t>
  </si>
  <si>
    <t>5.10 复位</t>
  </si>
  <si>
    <t>区分同步/异步、高/低有效复位</t>
  </si>
  <si>
    <t>DFF with reset；reset value；asynchronous reset</t>
  </si>
  <si>
    <t>能从敏感列表判断复位类型</t>
  </si>
  <si>
    <t>5.11 其他计数器</t>
  </si>
  <si>
    <t>掌握使能、级联和特殊模计数</t>
  </si>
  <si>
    <t>Decade counter；Slow decade counter；12-hour clock</t>
  </si>
  <si>
    <t>注意 enable、进位、边界</t>
  </si>
  <si>
    <t>5.13 时序 always 与非阻塞赋值</t>
  </si>
  <si>
    <t>掌握 always @(posedge clk) 与 &lt;=</t>
  </si>
  <si>
    <t>Always blocks(clocked)；所有 DFF/Counter</t>
  </si>
  <si>
    <t>时序块统一使用非阻塞赋值</t>
  </si>
  <si>
    <t>5.14 边沿检测</t>
  </si>
  <si>
    <t>用上一拍值检测上升/下降沿</t>
  </si>
  <si>
    <t>Edgedetect；Mux and DFF；DFFs and gates</t>
  </si>
  <si>
    <t>能自己推导 curr &amp; ~prev</t>
  </si>
  <si>
    <t>https://hdlbits.01xz.net/wiki/Edgedetect</t>
  </si>
  <si>
    <t>5.15 时序分析</t>
  </si>
  <si>
    <t>能按时钟边沿阅读波形</t>
  </si>
  <si>
    <t>Reading Simulations</t>
  </si>
  <si>
    <t>Sequential circuit 波形题</t>
  </si>
  <si>
    <t>能逐拍写出寄存器值</t>
  </si>
  <si>
    <t>移位寄存器基础</t>
  </si>
  <si>
    <t>掌握串并转换和逐拍移位</t>
  </si>
  <si>
    <t>Shift Registers</t>
  </si>
  <si>
    <t>4-bit shift register；Shift register</t>
  </si>
  <si>
    <t>能写左右移位寄存器</t>
  </si>
  <si>
    <t>循环/算术移位</t>
  </si>
  <si>
    <t>理解 rotate 与 arithmetic shift</t>
  </si>
  <si>
    <t>Left/right rotator；Arithmetic shift by 1 or 8</t>
  </si>
  <si>
    <t>特别关注符号位扩展</t>
  </si>
  <si>
    <t>LFSR</t>
  </si>
  <si>
    <t>理解反馈移位寄存器与异或反馈</t>
  </si>
  <si>
    <t>5-bit LFSR；3-bit LFSR；32-bit LFSR</t>
  </si>
  <si>
    <t>理解反馈 tap，不必死记</t>
  </si>
  <si>
    <t>6.1 FSM 基本设计步骤</t>
  </si>
  <si>
    <t>状态定义→转移→输出→编码→RTL</t>
  </si>
  <si>
    <t>Finite State Machines</t>
  </si>
  <si>
    <t>Simple FSM 1/2/3</t>
  </si>
  <si>
    <t>能从状态图写三段式 FSM</t>
  </si>
  <si>
    <t>6.2 状态分配/One-hot</t>
  </si>
  <si>
    <t>掌握二进制与 one-hot 编码</t>
  </si>
  <si>
    <t>Simple one-hot state transitions；One-hot FSM</t>
  </si>
  <si>
    <t>能识别 one-hot 状态位</t>
  </si>
  <si>
    <t>6.3 Mealy FSM</t>
  </si>
  <si>
    <t>理解输出依赖 state+input</t>
  </si>
  <si>
    <t>Design a Mealy FSM；Serial two's complementer(Mealy)</t>
  </si>
  <si>
    <t>能区分 Mealy 与 Moore</t>
  </si>
  <si>
    <t>Moore FSM</t>
  </si>
  <si>
    <t>理解输出只依赖 state</t>
  </si>
  <si>
    <t>Design a Moore FSM；Serial two's complementer(Moore)</t>
  </si>
  <si>
    <t>同一需求能画 Moore 状态图</t>
  </si>
  <si>
    <t>6.4 Verilog FSM 编码</t>
  </si>
  <si>
    <t>三段式/两段式 RTL 实现</t>
  </si>
  <si>
    <t>Simple FSM 1/2/3；Lemmings 1~4</t>
  </si>
  <si>
    <t>FSM 整组逐步完成</t>
  </si>
  <si>
    <t>6.5 串行加法器</t>
  </si>
  <si>
    <t>理解数据通路+控制器配合</t>
  </si>
  <si>
    <t>Serial receiver / datapath 类题</t>
  </si>
  <si>
    <t>开始建立控制+数据通路思维</t>
  </si>
  <si>
    <t>6.6 状态最小化</t>
  </si>
  <si>
    <t>识别等价状态并简化</t>
  </si>
  <si>
    <t>FSM 综合题</t>
  </si>
  <si>
    <t>理解思想即可</t>
  </si>
  <si>
    <t>6.7 FSM+计数器</t>
  </si>
  <si>
    <t>把计数数据通路接入状态控制</t>
  </si>
  <si>
    <t>FSM / Counters</t>
  </si>
  <si>
    <t>The complete timer；FSM + counter 类综合题</t>
  </si>
  <si>
    <t>能让 FSM 控制 counter enable/reset</t>
  </si>
  <si>
    <t>6.8 仲裁 FSM</t>
  </si>
  <si>
    <t>理解请求/授权控制</t>
  </si>
  <si>
    <t>FSM 扩展</t>
  </si>
  <si>
    <t>HDLBits 无完全直接题</t>
  </si>
  <si>
    <t>书本案例理解为主</t>
  </si>
  <si>
    <t>6.9 时序电路分析</t>
  </si>
  <si>
    <t>由现有电路/方程反推状态行为</t>
  </si>
  <si>
    <t>Exams / FSM</t>
  </si>
  <si>
    <t>Q3a/Q3b/Q3c；Q6；Q2a/Q2b；ECE241 2014 Q4</t>
  </si>
  <si>
    <t>不仅会设计，也会读别人的时序电路</t>
  </si>
  <si>
    <t>https://hdlbits.01xz.net/wiki/Exams/ece241_2014_q4</t>
  </si>
  <si>
    <t>6.10 ASM / 大型控制流程</t>
  </si>
  <si>
    <t>把复杂算法拆成状态与操作</t>
  </si>
  <si>
    <t>Building Larger Circuits</t>
  </si>
  <si>
    <t>Sequence recognizer；Enable shift register；The complete FSM；The complete timer</t>
  </si>
  <si>
    <t>进入综合题阶段</t>
  </si>
  <si>
    <t>7.1 总线结构</t>
  </si>
  <si>
    <t>理解向量、MUX 和共享数据通路</t>
  </si>
  <si>
    <t>Vectors / Modules</t>
  </si>
  <si>
    <t>Vectors；Modules and vectors；MUX</t>
  </si>
  <si>
    <t>能读懂较宽总线模块连接</t>
  </si>
  <si>
    <t>7.2 简单处理器</t>
  </si>
  <si>
    <t>理解控制器+数据通路系统结构</t>
  </si>
  <si>
    <t>HDLBits 无直接处理器题</t>
  </si>
  <si>
    <t>建立系统级概念</t>
  </si>
  <si>
    <t>7.3 位计数电路</t>
  </si>
  <si>
    <t>掌握 population count</t>
  </si>
  <si>
    <t>3-bit population count；255-bit population count</t>
  </si>
  <si>
    <t>理解逐位累加与归约思想</t>
  </si>
  <si>
    <t>7.4 移位加法/乘法</t>
  </si>
  <si>
    <t>组合寄存器、加法器与控制</t>
  </si>
  <si>
    <t>Shift register + Adder + 综合题</t>
  </si>
  <si>
    <t>重点理解多周期运算结构</t>
  </si>
  <si>
    <t>7.5 除法器</t>
  </si>
  <si>
    <t>理解多周期算法硬件化</t>
  </si>
  <si>
    <t>扩展</t>
  </si>
  <si>
    <t>HDLBits 无明显直接题</t>
  </si>
  <si>
    <t>★</t>
  </si>
  <si>
    <t>项目需要时再深入</t>
  </si>
  <si>
    <t>7.6 算术平均</t>
  </si>
  <si>
    <t>理解累加、计数、除法组合</t>
  </si>
  <si>
    <t>HDLBits 无直接题</t>
  </si>
  <si>
    <t>理解数据通路即可</t>
  </si>
  <si>
    <t>7.7 排序</t>
  </si>
  <si>
    <t>理解算法转硬件控制流程</t>
  </si>
  <si>
    <t>作为 RTL 思维扩展</t>
  </si>
  <si>
    <t>7.8 时钟同步与时序</t>
  </si>
  <si>
    <t>理解同步设计与时序边界</t>
  </si>
  <si>
    <t>少量间接相关题</t>
  </si>
  <si>
    <t>为后续 CDC/STA 打基础</t>
  </si>
  <si>
    <t>逻辑优化/多级综合</t>
  </si>
  <si>
    <t>理解逻辑优化与综合结果</t>
  </si>
  <si>
    <t>HDLBits 少量间接相关</t>
  </si>
  <si>
    <t>了解即可，后续结合综合工具</t>
  </si>
  <si>
    <t>异步时序电路/冒险</t>
  </si>
  <si>
    <t>了解异步电路与 hazard</t>
  </si>
  <si>
    <t>注意：异步复位题不等于本章异步电路</t>
  </si>
  <si>
    <t>暂不作为 HDLBits 主线</t>
  </si>
  <si>
    <t>综合与物理设计</t>
  </si>
  <si>
    <t>理解 RTL→门级→实现流程</t>
  </si>
  <si>
    <t>工程实践</t>
  </si>
  <si>
    <t>HDLBits 基本不覆盖</t>
  </si>
  <si>
    <t>结合 Vivado 工程学习</t>
  </si>
  <si>
    <t>测试/BIST</t>
  </si>
  <si>
    <t>了解故障模型与可测试性</t>
  </si>
  <si>
    <t>求职后期再补</t>
  </si>
  <si>
    <t>状态选项</t>
  </si>
  <si>
    <t>参考资料</t>
  </si>
  <si>
    <t>链接</t>
  </si>
  <si>
    <t>尚未系统学习/做题</t>
  </si>
  <si>
    <t>《数字逻辑基础与Verilog设计（原书第3版）》目录</t>
  </si>
  <si>
    <t>https://www.cmpedu.com/books/book/2054149.htm</t>
  </si>
  <si>
    <t>正在看书、做题或订正</t>
  </si>
  <si>
    <t>HDLBits Problem Sets</t>
  </si>
  <si>
    <t>知识点看懂 + 对应 HDLBits 完成并订正</t>
  </si>
  <si>
    <t>HDLBits Edgedetect</t>
  </si>
  <si>
    <t>HDLBits ECE241 2014 Q4</t>
  </si>
  <si>
    <t>优先级说明</t>
  </si>
  <si>
    <t>最高=当前主线；高=核心；中=掌握；低=了解/后补</t>
  </si>
  <si>
    <t>完成判定</t>
  </si>
  <si>
    <t>建议只有在“能脱离答案独立解释/实现”后标记已完成</t>
  </si>
  <si>
    <t>Inverter</t>
    <phoneticPr fontId="8" type="noConversion"/>
  </si>
  <si>
    <r>
      <t>AND gate</t>
    </r>
    <r>
      <rPr>
        <sz val="11"/>
        <rFont val="微软雅黑"/>
        <family val="2"/>
        <charset val="134"/>
      </rPr>
      <t>；</t>
    </r>
    <r>
      <rPr>
        <sz val="11"/>
        <rFont val="Arial"/>
        <family val="2"/>
      </rPr>
      <t>NOR gate</t>
    </r>
    <r>
      <rPr>
        <sz val="11"/>
        <rFont val="微软雅黑"/>
        <family val="2"/>
        <charset val="134"/>
      </rPr>
      <t>；</t>
    </r>
    <r>
      <rPr>
        <sz val="11"/>
        <rFont val="Arial"/>
        <family val="2"/>
      </rPr>
      <t>XNOR gate</t>
    </r>
    <r>
      <rPr>
        <sz val="11"/>
        <rFont val="微软雅黑"/>
        <family val="2"/>
        <charset val="134"/>
      </rPr>
      <t>；</t>
    </r>
    <r>
      <rPr>
        <sz val="11"/>
        <rFont val="Arial"/>
        <family val="2"/>
      </rPr>
      <t>More logic gates</t>
    </r>
    <r>
      <rPr>
        <sz val="11"/>
        <rFont val="微软雅黑"/>
        <family val="2"/>
        <charset val="134"/>
      </rPr>
      <t>；</t>
    </r>
    <r>
      <rPr>
        <sz val="11"/>
        <rFont val="Arial"/>
        <family val="2"/>
      </rPr>
      <t>7420 chip</t>
    </r>
    <phoneticPr fontId="8" type="noConversion"/>
  </si>
  <si>
    <t>https://hdlbits.01xz.net/wiki/Edgedetect</t>
    <phoneticPr fontId="8" type="noConversion"/>
  </si>
  <si>
    <r>
      <t>Another gate</t>
    </r>
    <r>
      <rPr>
        <sz val="11"/>
        <rFont val="微软雅黑"/>
        <family val="2"/>
        <charset val="134"/>
      </rPr>
      <t>；</t>
    </r>
    <r>
      <rPr>
        <sz val="11"/>
        <rFont val="Arial"/>
        <family val="2"/>
      </rPr>
      <t>Two gates</t>
    </r>
    <r>
      <rPr>
        <sz val="11"/>
        <rFont val="微软雅黑"/>
        <family val="2"/>
        <charset val="134"/>
      </rPr>
      <t>；</t>
    </r>
    <r>
      <rPr>
        <sz val="11"/>
        <rFont val="Arial"/>
        <family val="2"/>
      </rPr>
      <t>Simple circuit A/B</t>
    </r>
    <r>
      <rPr>
        <sz val="11"/>
        <rFont val="微软雅黑"/>
        <family val="2"/>
        <charset val="134"/>
      </rPr>
      <t>；</t>
    </r>
    <r>
      <rPr>
        <sz val="11"/>
        <rFont val="Arial"/>
        <family val="2"/>
      </rPr>
      <t>Combine circuits A and B</t>
    </r>
    <phoneticPr fontId="8" type="noConversion"/>
  </si>
  <si>
    <r>
      <t>Ring or vibrate?</t>
    </r>
    <r>
      <rPr>
        <sz val="11"/>
        <rFont val="微软雅黑"/>
        <family val="2"/>
        <charset val="134"/>
      </rPr>
      <t>；</t>
    </r>
    <r>
      <rPr>
        <sz val="11"/>
        <rFont val="Arial"/>
        <family val="2"/>
      </rPr>
      <t>Thermostat</t>
    </r>
    <r>
      <rPr>
        <sz val="11"/>
        <rFont val="微软雅黑"/>
        <family val="2"/>
        <charset val="134"/>
      </rPr>
      <t>；</t>
    </r>
    <r>
      <rPr>
        <sz val="11"/>
        <rFont val="Arial"/>
        <family val="2"/>
      </rPr>
      <t>Truth tables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</si>
</sst>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12">
    <font>
      <sz val="11"/>
      <name val="Carlito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b/>
      <sz val="14"/>
      <color rgb="FF1F4E78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u/>
      <sz val="11"/>
      <color theme="1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D9E2F3"/>
      </patternFill>
    </fill>
    <fill>
      <patternFill patternType="solid">
        <fgColor rgb="FFF3F6F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/>
    <xf numFmtId="0" fontId="11" fillId="0" borderId="0" applyNumberFormat="0" applyFill="0" applyBorder="0" applyAlignment="0" applyProtection="0"/>
  </cellStyleXfs>
  <cellXfs count="15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horizontal="center" vertical="center" wrapText="1"/>
    </xf>
    <xf numFmtId="176" fontId="0" fillId="0" borderId="0" xfId="1" applyNumberFormat="1" applyFont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5" fillId="6" borderId="0" xfId="1" applyFont="1" applyFill="1" applyAlignment="1">
      <alignment horizontal="center" vertical="center"/>
    </xf>
    <xf numFmtId="177" fontId="5" fillId="6" borderId="0" xfId="1" applyNumberFormat="1" applyFont="1" applyFill="1" applyAlignment="1">
      <alignment horizontal="center" vertical="center"/>
    </xf>
    <xf numFmtId="177" fontId="0" fillId="0" borderId="0" xfId="1" applyNumberFormat="1" applyFont="1" applyAlignment="1">
      <alignment wrapText="1"/>
    </xf>
    <xf numFmtId="0" fontId="6" fillId="0" borderId="0" xfId="1" applyFont="1" applyAlignment="1">
      <alignment wrapText="1"/>
    </xf>
    <xf numFmtId="0" fontId="6" fillId="7" borderId="0" xfId="1" applyFont="1" applyFill="1" applyAlignment="1">
      <alignment wrapText="1"/>
    </xf>
    <xf numFmtId="0" fontId="11" fillId="0" borderId="0" xfId="2" applyAlignment="1">
      <alignment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/>
    </xf>
  </cellXfs>
  <cellStyles count="3">
    <cellStyle name="Normal" xfId="1" xr:uid="{00000000-0005-0000-0000-000000000000}"/>
    <cellStyle name="常规" xfId="0" builtinId="0"/>
    <cellStyle name="超链接" xfId="2" builtinId="8"/>
  </cellStyles>
  <dxfs count="6">
    <dxf>
      <font>
        <b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ill>
        <patternFill patternType="solid">
          <bgColor rgb="FFEAF4E3"/>
        </patternFill>
      </fill>
    </dxf>
    <dxf>
      <font>
        <b/>
      </font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arningTodoTable" displayName="LearningTodoTable" ref="A5:M73" totalsRowShown="0">
  <tableColumns count="13">
    <tableColumn id="1" xr3:uid="{00000000-0010-0000-0000-000001000000}" name="序号"/>
    <tableColumn id="2" xr3:uid="{00000000-0010-0000-0000-000002000000}" name="书本章节"/>
    <tableColumn id="3" xr3:uid="{00000000-0010-0000-0000-000003000000}" name="小节 / 知识点"/>
    <tableColumn id="4" xr3:uid="{00000000-0010-0000-0000-000004000000}" name="学习目标"/>
    <tableColumn id="5" xr3:uid="{00000000-0010-0000-0000-000005000000}" name="HDLBits 分类"/>
    <tableColumn id="6" xr3:uid="{00000000-0010-0000-0000-000006000000}" name="对应题目"/>
    <tableColumn id="7" xr3:uid="{00000000-0010-0000-0000-000007000000}" name="相关性"/>
    <tableColumn id="8" xr3:uid="{00000000-0010-0000-0000-000008000000}" name="优先级"/>
    <tableColumn id="9" xr3:uid="{00000000-0010-0000-0000-000009000000}" name="验收标准 / 建议"/>
    <tableColumn id="10" xr3:uid="{00000000-0010-0000-0000-00000A000000}" name="状态"/>
    <tableColumn id="11" xr3:uid="{00000000-0010-0000-0000-00000B000000}" name="完成日期"/>
    <tableColumn id="12" xr3:uid="{00000000-0010-0000-0000-00000C000000}" name="备注"/>
    <tableColumn id="13" xr3:uid="{00000000-0010-0000-0000-00000D000000}" name="参考链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hdlbits.01xz.net/wiki/Edgedet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G9" sqref="G9"/>
    </sheetView>
  </sheetViews>
  <sheetFormatPr defaultRowHeight="14"/>
  <cols>
    <col min="1" max="1" width="15" customWidth="1"/>
    <col min="2" max="3" width="13" customWidth="1"/>
    <col min="4" max="4" width="14" customWidth="1"/>
    <col min="5" max="5" width="16" customWidth="1"/>
    <col min="6" max="6" width="20" customWidth="1"/>
    <col min="7" max="7" width="22" customWidth="1"/>
    <col min="8" max="8" width="34" customWidth="1"/>
  </cols>
  <sheetData>
    <row r="1" spans="1:8" ht="20" customHeight="1">
      <c r="A1" s="13" t="s">
        <v>0</v>
      </c>
      <c r="B1" s="13"/>
      <c r="C1" s="13"/>
      <c r="D1" s="13"/>
      <c r="E1" s="13"/>
      <c r="F1" s="13"/>
      <c r="G1" s="13"/>
      <c r="H1" s="13"/>
    </row>
    <row r="2" spans="1:8" ht="18.649999999999999" customHeight="1">
      <c r="A2" s="14" t="s">
        <v>1</v>
      </c>
      <c r="B2" s="14"/>
      <c r="C2" s="14"/>
      <c r="D2" s="14"/>
      <c r="E2" s="14"/>
      <c r="F2" s="14"/>
      <c r="G2" s="14"/>
      <c r="H2" s="14"/>
    </row>
    <row r="4" spans="1:8" ht="21.4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</row>
    <row r="5" spans="1:8" ht="21.4" customHeight="1">
      <c r="A5" s="7">
        <f>COUNTA(学习TODO!$A$6:$A$73)</f>
        <v>68</v>
      </c>
      <c r="B5" s="7">
        <f>COUNTIF(学习TODO!$J$6:$J$73,"已完成")</f>
        <v>5</v>
      </c>
      <c r="C5" s="7">
        <f>COUNTIF(学习TODO!$J$6:$J$73,"进行中")</f>
        <v>0</v>
      </c>
      <c r="D5" s="7">
        <f>COUNTIF(学习TODO!$J$6:$J$73,"未开始")</f>
        <v>63</v>
      </c>
      <c r="E5" s="8">
        <f>IF(A5=0,0,B5/A5)</f>
        <v>7.3529411764705885E-2</v>
      </c>
      <c r="F5" s="8">
        <f>IF(COUNTIF(学习TODO!$H$6:$H$73,"最高")=0,0,COUNTIFS(学习TODO!$H$6:$H$73,"最高",学习TODO!$J$6:$J$73,"已完成")/COUNTIF(学习TODO!$H$6:$H$73,"最高"))</f>
        <v>4.7619047619047616E-2</v>
      </c>
      <c r="G5" s="8">
        <f>IF(COUNTIF(学习TODO!$H$6:$H$73,"高")=0,0,COUNTIFS(学习TODO!$H$6:$H$73,"高",学习TODO!$J$6:$J$73,"已完成")/COUNTIF(学习TODO!$H$6:$H$73,"高"))</f>
        <v>0.17391304347826086</v>
      </c>
      <c r="H5" s="8">
        <f>IF(SUM(B9:B13)=0,0,SUM(C9:C13)/SUM(B9:B13))</f>
        <v>8.9285714285714288E-2</v>
      </c>
    </row>
    <row r="8" spans="1:8">
      <c r="A8" s="1" t="s">
        <v>10</v>
      </c>
      <c r="B8" s="1" t="s">
        <v>11</v>
      </c>
      <c r="C8" s="1" t="s">
        <v>3</v>
      </c>
      <c r="D8" s="1" t="s">
        <v>12</v>
      </c>
      <c r="F8" s="1" t="s">
        <v>13</v>
      </c>
      <c r="G8" s="1" t="s">
        <v>14</v>
      </c>
      <c r="H8" s="1" t="s">
        <v>15</v>
      </c>
    </row>
    <row r="9" spans="1:8">
      <c r="A9" s="2" t="s">
        <v>16</v>
      </c>
      <c r="B9" s="2">
        <f>COUNTIF(学习TODO!$B$6:$B$73,A9)</f>
        <v>14</v>
      </c>
      <c r="C9" s="2">
        <f>COUNTIFS(学习TODO!$B$6:$B$73,A9,学习TODO!$J$6:$J$73,"已完成")</f>
        <v>5</v>
      </c>
      <c r="D9" s="9">
        <f t="shared" ref="D9:D18" si="0">IF(B9=0,0,C9/B9)</f>
        <v>0.35714285714285715</v>
      </c>
      <c r="F9" s="2" t="s">
        <v>17</v>
      </c>
      <c r="G9" s="2" t="s">
        <v>18</v>
      </c>
      <c r="H9" s="2" t="s">
        <v>19</v>
      </c>
    </row>
    <row r="10" spans="1:8">
      <c r="A10" s="2" t="s">
        <v>20</v>
      </c>
      <c r="B10" s="2">
        <f>COUNTIF(学习TODO!$B$6:$B$73,A10)</f>
        <v>7</v>
      </c>
      <c r="C10" s="2">
        <f>COUNTIFS(学习TODO!$B$6:$B$73,A10,学习TODO!$J$6:$J$73,"已完成")</f>
        <v>0</v>
      </c>
      <c r="D10" s="9">
        <f t="shared" si="0"/>
        <v>0</v>
      </c>
      <c r="F10" s="2" t="s">
        <v>21</v>
      </c>
      <c r="G10" s="2" t="s">
        <v>22</v>
      </c>
      <c r="H10" s="2" t="s">
        <v>23</v>
      </c>
    </row>
    <row r="11" spans="1:8">
      <c r="A11" s="2" t="s">
        <v>24</v>
      </c>
      <c r="B11" s="2">
        <f>COUNTIF(学习TODO!$B$6:$B$73,A11)</f>
        <v>8</v>
      </c>
      <c r="C11" s="2">
        <f>COUNTIFS(学习TODO!$B$6:$B$73,A11,学习TODO!$J$6:$J$73,"已完成")</f>
        <v>0</v>
      </c>
      <c r="D11" s="9">
        <f t="shared" si="0"/>
        <v>0</v>
      </c>
      <c r="F11" s="2" t="s">
        <v>25</v>
      </c>
      <c r="G11" s="2" t="s">
        <v>20</v>
      </c>
      <c r="H11" s="2" t="s">
        <v>26</v>
      </c>
    </row>
    <row r="12" spans="1:8">
      <c r="A12" s="2" t="s">
        <v>27</v>
      </c>
      <c r="B12" s="2">
        <f>COUNTIF(学习TODO!$B$6:$B$73,A12)</f>
        <v>16</v>
      </c>
      <c r="C12" s="2">
        <f>COUNTIFS(学习TODO!$B$6:$B$73,A12,学习TODO!$J$6:$J$73,"已完成")</f>
        <v>0</v>
      </c>
      <c r="D12" s="9">
        <f t="shared" si="0"/>
        <v>0</v>
      </c>
      <c r="F12" s="2" t="s">
        <v>28</v>
      </c>
      <c r="G12" s="2" t="s">
        <v>24</v>
      </c>
      <c r="H12" s="2" t="s">
        <v>29</v>
      </c>
    </row>
    <row r="13" spans="1:8">
      <c r="A13" s="2" t="s">
        <v>30</v>
      </c>
      <c r="B13" s="2">
        <f>COUNTIF(学习TODO!$B$6:$B$73,A13)</f>
        <v>11</v>
      </c>
      <c r="C13" s="2">
        <f>COUNTIFS(学习TODO!$B$6:$B$73,A13,学习TODO!$J$6:$J$73,"已完成")</f>
        <v>0</v>
      </c>
      <c r="D13" s="9">
        <f t="shared" si="0"/>
        <v>0</v>
      </c>
      <c r="F13" s="2" t="s">
        <v>31</v>
      </c>
      <c r="G13" s="2" t="s">
        <v>27</v>
      </c>
      <c r="H13" s="2" t="s">
        <v>32</v>
      </c>
    </row>
    <row r="14" spans="1:8">
      <c r="A14" s="2" t="s">
        <v>33</v>
      </c>
      <c r="B14" s="2">
        <f>COUNTIF(学习TODO!$B$6:$B$73,A14)</f>
        <v>8</v>
      </c>
      <c r="C14" s="2">
        <f>COUNTIFS(学习TODO!$B$6:$B$73,A14,学习TODO!$J$6:$J$73,"已完成")</f>
        <v>0</v>
      </c>
      <c r="D14" s="9">
        <f t="shared" si="0"/>
        <v>0</v>
      </c>
      <c r="F14" s="2" t="s">
        <v>34</v>
      </c>
      <c r="G14" s="2" t="s">
        <v>30</v>
      </c>
      <c r="H14" s="2" t="s">
        <v>35</v>
      </c>
    </row>
    <row r="15" spans="1:8">
      <c r="A15" s="2" t="s">
        <v>36</v>
      </c>
      <c r="B15" s="2">
        <f>COUNTIF(学习TODO!$B$6:$B$73,A15)</f>
        <v>1</v>
      </c>
      <c r="C15" s="2">
        <f>COUNTIFS(学习TODO!$B$6:$B$73,A15,学习TODO!$J$6:$J$73,"已完成")</f>
        <v>0</v>
      </c>
      <c r="D15" s="9">
        <f t="shared" si="0"/>
        <v>0</v>
      </c>
      <c r="F15" s="2" t="s">
        <v>37</v>
      </c>
      <c r="G15" s="2" t="s">
        <v>33</v>
      </c>
      <c r="H15" s="2" t="s">
        <v>38</v>
      </c>
    </row>
    <row r="16" spans="1:8">
      <c r="A16" s="2" t="s">
        <v>39</v>
      </c>
      <c r="B16" s="2">
        <f>COUNTIF(学习TODO!$B$6:$B$73,A16)</f>
        <v>1</v>
      </c>
      <c r="C16" s="2">
        <f>COUNTIFS(学习TODO!$B$6:$B$73,A16,学习TODO!$J$6:$J$73,"已完成")</f>
        <v>0</v>
      </c>
      <c r="D16" s="9">
        <f t="shared" si="0"/>
        <v>0</v>
      </c>
      <c r="F16" s="2" t="s">
        <v>40</v>
      </c>
      <c r="G16" s="2" t="s">
        <v>41</v>
      </c>
      <c r="H16" s="2" t="s">
        <v>42</v>
      </c>
    </row>
    <row r="17" spans="1:4">
      <c r="A17" s="2" t="s">
        <v>43</v>
      </c>
      <c r="B17" s="2">
        <f>COUNTIF(学习TODO!$B$6:$B$73,A17)</f>
        <v>1</v>
      </c>
      <c r="C17" s="2">
        <f>COUNTIFS(学习TODO!$B$6:$B$73,A17,学习TODO!$J$6:$J$73,"已完成")</f>
        <v>0</v>
      </c>
      <c r="D17" s="9">
        <f t="shared" si="0"/>
        <v>0</v>
      </c>
    </row>
    <row r="18" spans="1:4">
      <c r="A18" s="2" t="s">
        <v>44</v>
      </c>
      <c r="B18" s="2">
        <f>COUNTIF(学习TODO!$B$6:$B$73,A18)</f>
        <v>1</v>
      </c>
      <c r="C18" s="2">
        <f>COUNTIFS(学习TODO!$B$6:$B$73,A18,学习TODO!$J$6:$J$73,"已完成")</f>
        <v>0</v>
      </c>
      <c r="D18" s="9">
        <f t="shared" si="0"/>
        <v>0</v>
      </c>
    </row>
  </sheetData>
  <mergeCells count="2">
    <mergeCell ref="A1:H1"/>
    <mergeCell ref="A2:H2"/>
  </mergeCells>
  <phoneticPr fontId="8" type="noConversion"/>
  <conditionalFormatting sqref="D9:D18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{199E4998-2940-7F4C-2353-8049D87B2BCF}</x14:id>
        </ext>
      </extLst>
    </cfRule>
  </conditionalFormatting>
  <conditionalFormatting sqref="E5:H5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{2F678179-5AD3-AF23-136E-DBC8A3F1390A}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9E4998-2940-7F4C-2353-8049D87B2BCF}">
            <x14:dataBar>
              <x14:cfvo type="min"/>
              <x14:cfvo type="max"/>
              <x14:negativeFillColor auto="1"/>
              <x14:axisColor auto="1"/>
            </x14:dataBar>
          </x14:cfRule>
          <xm:sqref>D9:D18</xm:sqref>
        </x14:conditionalFormatting>
        <x14:conditionalFormatting xmlns:xm="http://schemas.microsoft.com/office/excel/2006/main">
          <x14:cfRule type="dataBar" id="{2F678179-5AD3-AF23-136E-DBC8A3F1390A}">
            <x14:dataBar>
              <x14:cfvo type="min"/>
              <x14:cfvo type="max"/>
              <x14:negativeFillColor auto="1"/>
              <x14:axisColor auto="1"/>
            </x14:dataBar>
          </x14:cfRule>
          <xm:sqref>E5:H5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"/>
  <sheetViews>
    <sheetView tabSelected="1" topLeftCell="A5" workbookViewId="0">
      <selection activeCell="F18" sqref="F18"/>
    </sheetView>
  </sheetViews>
  <sheetFormatPr defaultRowHeight="14"/>
  <cols>
    <col min="1" max="1" width="7" customWidth="1"/>
    <col min="2" max="2" width="9" customWidth="1"/>
    <col min="3" max="3" width="24" customWidth="1"/>
    <col min="4" max="4" width="30" customWidth="1"/>
    <col min="5" max="5" width="24" customWidth="1"/>
    <col min="6" max="6" width="44" customWidth="1"/>
    <col min="7" max="8" width="10" customWidth="1"/>
    <col min="9" max="9" width="38" customWidth="1"/>
    <col min="10" max="10" width="11" customWidth="1"/>
    <col min="11" max="11" width="13" customWidth="1"/>
    <col min="12" max="12" width="28" customWidth="1"/>
    <col min="13" max="13" width="38" customWidth="1"/>
  </cols>
  <sheetData>
    <row r="1" spans="1:13" ht="20" customHeight="1">
      <c r="A1" s="13" t="s">
        <v>45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2.65" customHeight="1">
      <c r="A2" s="14" t="s">
        <v>46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5" spans="1:13" ht="20" customHeight="1">
      <c r="A5" s="1" t="s">
        <v>47</v>
      </c>
      <c r="B5" s="1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57</v>
      </c>
      <c r="L5" s="1" t="s">
        <v>58</v>
      </c>
      <c r="M5" s="1" t="s">
        <v>59</v>
      </c>
    </row>
    <row r="6" spans="1:13">
      <c r="A6" s="4">
        <v>1</v>
      </c>
      <c r="B6" s="4" t="s">
        <v>16</v>
      </c>
      <c r="C6" s="3" t="s">
        <v>60</v>
      </c>
      <c r="D6" s="3" t="s">
        <v>61</v>
      </c>
      <c r="E6" s="3" t="s">
        <v>62</v>
      </c>
      <c r="F6" s="3" t="s">
        <v>63</v>
      </c>
      <c r="G6" s="4" t="s">
        <v>64</v>
      </c>
      <c r="H6" s="4" t="s">
        <v>65</v>
      </c>
      <c r="I6" s="4" t="s">
        <v>66</v>
      </c>
      <c r="J6" s="4" t="s">
        <v>3</v>
      </c>
      <c r="K6" s="5"/>
      <c r="L6" s="3"/>
      <c r="M6" s="3" t="s">
        <v>67</v>
      </c>
    </row>
    <row r="7" spans="1:13">
      <c r="A7" s="4">
        <v>2</v>
      </c>
      <c r="B7" s="4" t="s">
        <v>16</v>
      </c>
      <c r="C7" s="3" t="s">
        <v>68</v>
      </c>
      <c r="D7" s="3" t="s">
        <v>69</v>
      </c>
      <c r="E7" s="3" t="s">
        <v>70</v>
      </c>
      <c r="F7" s="3" t="s">
        <v>379</v>
      </c>
      <c r="G7" s="4" t="s">
        <v>71</v>
      </c>
      <c r="H7" s="4" t="s">
        <v>65</v>
      </c>
      <c r="I7" s="4" t="s">
        <v>72</v>
      </c>
      <c r="J7" s="4" t="s">
        <v>3</v>
      </c>
      <c r="K7" s="5"/>
      <c r="L7" s="3"/>
      <c r="M7" s="3" t="s">
        <v>67</v>
      </c>
    </row>
    <row r="8" spans="1:13">
      <c r="A8" s="4">
        <v>3</v>
      </c>
      <c r="B8" s="4" t="s">
        <v>16</v>
      </c>
      <c r="C8" s="3" t="s">
        <v>73</v>
      </c>
      <c r="D8" s="3" t="s">
        <v>74</v>
      </c>
      <c r="E8" s="3" t="s">
        <v>75</v>
      </c>
      <c r="F8" s="3" t="s">
        <v>76</v>
      </c>
      <c r="G8" s="4" t="s">
        <v>71</v>
      </c>
      <c r="H8" s="4" t="s">
        <v>65</v>
      </c>
      <c r="I8" s="4" t="s">
        <v>77</v>
      </c>
      <c r="J8" s="4" t="s">
        <v>3</v>
      </c>
      <c r="K8" s="5"/>
      <c r="L8" s="3"/>
      <c r="M8" s="3" t="s">
        <v>67</v>
      </c>
    </row>
    <row r="9" spans="1:13" ht="33">
      <c r="A9" s="4">
        <v>4</v>
      </c>
      <c r="B9" s="4" t="s">
        <v>16</v>
      </c>
      <c r="C9" s="3" t="s">
        <v>78</v>
      </c>
      <c r="D9" s="3" t="s">
        <v>79</v>
      </c>
      <c r="E9" s="3" t="s">
        <v>70</v>
      </c>
      <c r="F9" s="3" t="s">
        <v>380</v>
      </c>
      <c r="G9" s="4" t="s">
        <v>71</v>
      </c>
      <c r="H9" s="4" t="s">
        <v>65</v>
      </c>
      <c r="I9" s="4" t="s">
        <v>80</v>
      </c>
      <c r="J9" s="4" t="s">
        <v>3</v>
      </c>
      <c r="K9" s="5"/>
      <c r="L9" s="3"/>
      <c r="M9" s="3" t="s">
        <v>67</v>
      </c>
    </row>
    <row r="10" spans="1:13" ht="30.5">
      <c r="A10" s="4">
        <v>5</v>
      </c>
      <c r="B10" s="4" t="s">
        <v>16</v>
      </c>
      <c r="C10" s="3" t="s">
        <v>81</v>
      </c>
      <c r="D10" s="3" t="s">
        <v>82</v>
      </c>
      <c r="E10" s="3" t="s">
        <v>75</v>
      </c>
      <c r="F10" s="3" t="s">
        <v>382</v>
      </c>
      <c r="G10" s="4" t="s">
        <v>71</v>
      </c>
      <c r="H10" s="4" t="s">
        <v>83</v>
      </c>
      <c r="I10" s="4" t="s">
        <v>84</v>
      </c>
      <c r="J10" s="4" t="s">
        <v>3</v>
      </c>
      <c r="K10" s="5"/>
      <c r="L10" s="3"/>
      <c r="M10" s="3" t="s">
        <v>67</v>
      </c>
    </row>
    <row r="11" spans="1:13" ht="16.5">
      <c r="A11" s="4">
        <v>6</v>
      </c>
      <c r="B11" s="4" t="s">
        <v>16</v>
      </c>
      <c r="C11" s="3" t="s">
        <v>85</v>
      </c>
      <c r="D11" s="3" t="s">
        <v>86</v>
      </c>
      <c r="E11" s="3" t="s">
        <v>87</v>
      </c>
      <c r="F11" s="3" t="s">
        <v>383</v>
      </c>
      <c r="G11" s="4" t="s">
        <v>71</v>
      </c>
      <c r="H11" s="4" t="s">
        <v>65</v>
      </c>
      <c r="I11" s="4" t="s">
        <v>88</v>
      </c>
      <c r="J11" s="4" t="s">
        <v>5</v>
      </c>
      <c r="K11" s="5"/>
      <c r="L11" s="3"/>
      <c r="M11" s="3" t="s">
        <v>67</v>
      </c>
    </row>
    <row r="12" spans="1:13">
      <c r="A12" s="4">
        <v>7</v>
      </c>
      <c r="B12" s="4" t="s">
        <v>16</v>
      </c>
      <c r="C12" s="3" t="s">
        <v>89</v>
      </c>
      <c r="D12" s="3" t="s">
        <v>90</v>
      </c>
      <c r="E12" s="3" t="s">
        <v>70</v>
      </c>
      <c r="F12" s="3" t="s">
        <v>91</v>
      </c>
      <c r="G12" s="4" t="s">
        <v>92</v>
      </c>
      <c r="H12" s="4" t="s">
        <v>93</v>
      </c>
      <c r="I12" s="4" t="s">
        <v>94</v>
      </c>
      <c r="J12" s="4" t="s">
        <v>5</v>
      </c>
      <c r="K12" s="5"/>
      <c r="L12" s="3"/>
      <c r="M12" s="3" t="s">
        <v>67</v>
      </c>
    </row>
    <row r="13" spans="1:13">
      <c r="A13" s="4">
        <v>8</v>
      </c>
      <c r="B13" s="4" t="s">
        <v>16</v>
      </c>
      <c r="C13" s="3" t="s">
        <v>95</v>
      </c>
      <c r="D13" s="3" t="s">
        <v>96</v>
      </c>
      <c r="E13" s="3" t="s">
        <v>87</v>
      </c>
      <c r="F13" s="3" t="s">
        <v>97</v>
      </c>
      <c r="G13" s="4" t="s">
        <v>92</v>
      </c>
      <c r="H13" s="4" t="s">
        <v>65</v>
      </c>
      <c r="I13" s="4" t="s">
        <v>98</v>
      </c>
      <c r="J13" s="4" t="s">
        <v>5</v>
      </c>
      <c r="K13" s="5"/>
      <c r="L13" s="3"/>
      <c r="M13" s="3" t="s">
        <v>67</v>
      </c>
    </row>
    <row r="14" spans="1:13" ht="28">
      <c r="A14" s="4">
        <v>9</v>
      </c>
      <c r="B14" s="4" t="s">
        <v>16</v>
      </c>
      <c r="C14" s="3" t="s">
        <v>99</v>
      </c>
      <c r="D14" s="3" t="s">
        <v>100</v>
      </c>
      <c r="E14" s="3" t="s">
        <v>101</v>
      </c>
      <c r="F14" s="3" t="s">
        <v>102</v>
      </c>
      <c r="G14" s="4" t="s">
        <v>71</v>
      </c>
      <c r="H14" s="4" t="s">
        <v>83</v>
      </c>
      <c r="I14" s="4" t="s">
        <v>103</v>
      </c>
      <c r="J14" s="4" t="s">
        <v>5</v>
      </c>
      <c r="K14" s="5"/>
      <c r="L14" s="3"/>
      <c r="M14" s="3" t="s">
        <v>67</v>
      </c>
    </row>
    <row r="15" spans="1:13">
      <c r="A15" s="4">
        <v>10</v>
      </c>
      <c r="B15" s="4" t="s">
        <v>16</v>
      </c>
      <c r="C15" s="3" t="s">
        <v>104</v>
      </c>
      <c r="D15" s="3" t="s">
        <v>105</v>
      </c>
      <c r="E15" s="3" t="s">
        <v>106</v>
      </c>
      <c r="F15" s="3" t="s">
        <v>107</v>
      </c>
      <c r="G15" s="4" t="s">
        <v>71</v>
      </c>
      <c r="H15" s="4" t="s">
        <v>83</v>
      </c>
      <c r="I15" s="4" t="s">
        <v>108</v>
      </c>
      <c r="J15" s="4" t="s">
        <v>5</v>
      </c>
      <c r="K15" s="5"/>
      <c r="L15" s="3"/>
      <c r="M15" s="3" t="s">
        <v>67</v>
      </c>
    </row>
    <row r="16" spans="1:13">
      <c r="A16" s="4">
        <v>11</v>
      </c>
      <c r="B16" s="4" t="s">
        <v>16</v>
      </c>
      <c r="C16" s="3" t="s">
        <v>109</v>
      </c>
      <c r="D16" s="3" t="s">
        <v>110</v>
      </c>
      <c r="E16" s="3" t="s">
        <v>106</v>
      </c>
      <c r="F16" s="3" t="s">
        <v>111</v>
      </c>
      <c r="G16" s="4" t="s">
        <v>71</v>
      </c>
      <c r="H16" s="4" t="s">
        <v>65</v>
      </c>
      <c r="I16" s="4" t="s">
        <v>112</v>
      </c>
      <c r="J16" s="4" t="s">
        <v>5</v>
      </c>
      <c r="K16" s="5"/>
      <c r="L16" s="3"/>
      <c r="M16" s="3" t="s">
        <v>67</v>
      </c>
    </row>
    <row r="17" spans="1:13">
      <c r="A17" s="4">
        <v>12</v>
      </c>
      <c r="B17" s="4" t="s">
        <v>16</v>
      </c>
      <c r="C17" s="3" t="s">
        <v>113</v>
      </c>
      <c r="D17" s="3" t="s">
        <v>114</v>
      </c>
      <c r="E17" s="3" t="s">
        <v>106</v>
      </c>
      <c r="F17" s="3" t="s">
        <v>115</v>
      </c>
      <c r="G17" s="4" t="s">
        <v>71</v>
      </c>
      <c r="H17" s="4" t="s">
        <v>65</v>
      </c>
      <c r="I17" s="4" t="s">
        <v>116</v>
      </c>
      <c r="J17" s="4" t="s">
        <v>5</v>
      </c>
      <c r="K17" s="5"/>
      <c r="L17" s="3"/>
      <c r="M17" s="3" t="s">
        <v>67</v>
      </c>
    </row>
    <row r="18" spans="1:13">
      <c r="A18" s="4">
        <v>13</v>
      </c>
      <c r="B18" s="4" t="s">
        <v>16</v>
      </c>
      <c r="C18" s="3" t="s">
        <v>117</v>
      </c>
      <c r="D18" s="3" t="s">
        <v>118</v>
      </c>
      <c r="E18" s="3" t="s">
        <v>106</v>
      </c>
      <c r="F18" s="3" t="s">
        <v>119</v>
      </c>
      <c r="G18" s="4" t="s">
        <v>92</v>
      </c>
      <c r="H18" s="4" t="s">
        <v>93</v>
      </c>
      <c r="I18" s="4" t="s">
        <v>120</v>
      </c>
      <c r="J18" s="4" t="s">
        <v>5</v>
      </c>
      <c r="K18" s="5"/>
      <c r="L18" s="3"/>
      <c r="M18" s="3" t="s">
        <v>67</v>
      </c>
    </row>
    <row r="19" spans="1:13">
      <c r="A19" s="4">
        <v>14</v>
      </c>
      <c r="B19" s="4" t="s">
        <v>16</v>
      </c>
      <c r="C19" s="3" t="s">
        <v>121</v>
      </c>
      <c r="D19" s="3" t="s">
        <v>122</v>
      </c>
      <c r="E19" s="3" t="s">
        <v>123</v>
      </c>
      <c r="F19" s="3" t="s">
        <v>124</v>
      </c>
      <c r="G19" s="4" t="s">
        <v>64</v>
      </c>
      <c r="H19" s="4" t="s">
        <v>93</v>
      </c>
      <c r="I19" s="4" t="s">
        <v>125</v>
      </c>
      <c r="J19" s="4" t="s">
        <v>5</v>
      </c>
      <c r="K19" s="5"/>
      <c r="L19" s="3"/>
      <c r="M19" s="3" t="s">
        <v>67</v>
      </c>
    </row>
    <row r="20" spans="1:13">
      <c r="A20" s="4">
        <v>15</v>
      </c>
      <c r="B20" s="4" t="s">
        <v>20</v>
      </c>
      <c r="C20" s="3" t="s">
        <v>126</v>
      </c>
      <c r="D20" s="3" t="s">
        <v>127</v>
      </c>
      <c r="E20" s="3" t="s">
        <v>128</v>
      </c>
      <c r="F20" s="3" t="s">
        <v>129</v>
      </c>
      <c r="G20" s="4" t="s">
        <v>64</v>
      </c>
      <c r="H20" s="4" t="s">
        <v>65</v>
      </c>
      <c r="I20" s="4" t="s">
        <v>130</v>
      </c>
      <c r="J20" s="4" t="s">
        <v>5</v>
      </c>
      <c r="K20" s="5"/>
      <c r="L20" s="3"/>
      <c r="M20" s="3" t="s">
        <v>67</v>
      </c>
    </row>
    <row r="21" spans="1:13">
      <c r="A21" s="4">
        <v>16</v>
      </c>
      <c r="B21" s="4" t="s">
        <v>20</v>
      </c>
      <c r="C21" s="3" t="s">
        <v>131</v>
      </c>
      <c r="D21" s="3" t="s">
        <v>132</v>
      </c>
      <c r="E21" s="3" t="s">
        <v>133</v>
      </c>
      <c r="F21" s="3" t="s">
        <v>134</v>
      </c>
      <c r="G21" s="4" t="s">
        <v>71</v>
      </c>
      <c r="H21" s="4" t="s">
        <v>83</v>
      </c>
      <c r="I21" s="4" t="s">
        <v>135</v>
      </c>
      <c r="J21" s="4" t="s">
        <v>5</v>
      </c>
      <c r="K21" s="5"/>
      <c r="L21" s="3"/>
      <c r="M21" s="3" t="s">
        <v>67</v>
      </c>
    </row>
    <row r="22" spans="1:13">
      <c r="A22" s="4">
        <v>17</v>
      </c>
      <c r="B22" s="4" t="s">
        <v>20</v>
      </c>
      <c r="C22" s="3" t="s">
        <v>136</v>
      </c>
      <c r="D22" s="3" t="s">
        <v>137</v>
      </c>
      <c r="E22" s="3" t="s">
        <v>133</v>
      </c>
      <c r="F22" s="3" t="s">
        <v>138</v>
      </c>
      <c r="G22" s="4" t="s">
        <v>71</v>
      </c>
      <c r="H22" s="4" t="s">
        <v>83</v>
      </c>
      <c r="I22" s="4" t="s">
        <v>139</v>
      </c>
      <c r="J22" s="4" t="s">
        <v>5</v>
      </c>
      <c r="K22" s="5"/>
      <c r="L22" s="3"/>
      <c r="M22" s="3" t="s">
        <v>67</v>
      </c>
    </row>
    <row r="23" spans="1:13">
      <c r="A23" s="4">
        <v>18</v>
      </c>
      <c r="B23" s="4" t="s">
        <v>20</v>
      </c>
      <c r="C23" s="3" t="s">
        <v>140</v>
      </c>
      <c r="D23" s="3" t="s">
        <v>141</v>
      </c>
      <c r="E23" s="3" t="s">
        <v>133</v>
      </c>
      <c r="F23" s="3" t="s">
        <v>142</v>
      </c>
      <c r="G23" s="4" t="s">
        <v>92</v>
      </c>
      <c r="H23" s="4" t="s">
        <v>93</v>
      </c>
      <c r="I23" s="4" t="s">
        <v>143</v>
      </c>
      <c r="J23" s="4" t="s">
        <v>5</v>
      </c>
      <c r="K23" s="5"/>
      <c r="L23" s="3"/>
      <c r="M23" s="3" t="s">
        <v>67</v>
      </c>
    </row>
    <row r="24" spans="1:13">
      <c r="A24" s="4">
        <v>19</v>
      </c>
      <c r="B24" s="4" t="s">
        <v>20</v>
      </c>
      <c r="C24" s="3" t="s">
        <v>144</v>
      </c>
      <c r="D24" s="3" t="s">
        <v>145</v>
      </c>
      <c r="E24" s="3" t="s">
        <v>133</v>
      </c>
      <c r="F24" s="3" t="s">
        <v>146</v>
      </c>
      <c r="G24" s="4" t="s">
        <v>71</v>
      </c>
      <c r="H24" s="4" t="s">
        <v>65</v>
      </c>
      <c r="I24" s="4" t="s">
        <v>147</v>
      </c>
      <c r="J24" s="4" t="s">
        <v>5</v>
      </c>
      <c r="K24" s="5"/>
      <c r="L24" s="3"/>
      <c r="M24" s="3" t="s">
        <v>67</v>
      </c>
    </row>
    <row r="25" spans="1:13">
      <c r="A25" s="4">
        <v>20</v>
      </c>
      <c r="B25" s="4" t="s">
        <v>20</v>
      </c>
      <c r="C25" s="3" t="s">
        <v>148</v>
      </c>
      <c r="D25" s="3" t="s">
        <v>149</v>
      </c>
      <c r="E25" s="3" t="s">
        <v>150</v>
      </c>
      <c r="F25" s="3" t="s">
        <v>151</v>
      </c>
      <c r="G25" s="4" t="s">
        <v>152</v>
      </c>
      <c r="H25" s="4" t="s">
        <v>153</v>
      </c>
      <c r="I25" s="4" t="s">
        <v>154</v>
      </c>
      <c r="J25" s="4" t="s">
        <v>5</v>
      </c>
      <c r="K25" s="5"/>
      <c r="L25" s="3"/>
      <c r="M25" s="3" t="s">
        <v>67</v>
      </c>
    </row>
    <row r="26" spans="1:13">
      <c r="A26" s="4">
        <v>21</v>
      </c>
      <c r="B26" s="4" t="s">
        <v>20</v>
      </c>
      <c r="C26" s="3" t="s">
        <v>155</v>
      </c>
      <c r="D26" s="3" t="s">
        <v>156</v>
      </c>
      <c r="E26" s="3" t="s">
        <v>133</v>
      </c>
      <c r="F26" s="3" t="s">
        <v>157</v>
      </c>
      <c r="G26" s="4" t="s">
        <v>92</v>
      </c>
      <c r="H26" s="4" t="s">
        <v>93</v>
      </c>
      <c r="I26" s="4" t="s">
        <v>158</v>
      </c>
      <c r="J26" s="4" t="s">
        <v>5</v>
      </c>
      <c r="K26" s="5"/>
      <c r="L26" s="3"/>
      <c r="M26" s="3" t="s">
        <v>67</v>
      </c>
    </row>
    <row r="27" spans="1:13" ht="28">
      <c r="A27" s="4">
        <v>22</v>
      </c>
      <c r="B27" s="4" t="s">
        <v>24</v>
      </c>
      <c r="C27" s="3" t="s">
        <v>159</v>
      </c>
      <c r="D27" s="3" t="s">
        <v>160</v>
      </c>
      <c r="E27" s="3" t="s">
        <v>161</v>
      </c>
      <c r="F27" s="3" t="s">
        <v>162</v>
      </c>
      <c r="G27" s="4" t="s">
        <v>71</v>
      </c>
      <c r="H27" s="4" t="s">
        <v>83</v>
      </c>
      <c r="I27" s="4" t="s">
        <v>163</v>
      </c>
      <c r="J27" s="4" t="s">
        <v>5</v>
      </c>
      <c r="K27" s="5"/>
      <c r="L27" s="3"/>
      <c r="M27" s="3" t="s">
        <v>67</v>
      </c>
    </row>
    <row r="28" spans="1:13">
      <c r="A28" s="4">
        <v>23</v>
      </c>
      <c r="B28" s="4" t="s">
        <v>24</v>
      </c>
      <c r="C28" s="3" t="s">
        <v>164</v>
      </c>
      <c r="D28" s="3" t="s">
        <v>165</v>
      </c>
      <c r="E28" s="3" t="s">
        <v>166</v>
      </c>
      <c r="F28" s="3" t="s">
        <v>167</v>
      </c>
      <c r="G28" s="4" t="s">
        <v>71</v>
      </c>
      <c r="H28" s="4" t="s">
        <v>83</v>
      </c>
      <c r="I28" s="4" t="s">
        <v>168</v>
      </c>
      <c r="J28" s="4" t="s">
        <v>5</v>
      </c>
      <c r="K28" s="5"/>
      <c r="L28" s="3"/>
      <c r="M28" s="3" t="s">
        <v>67</v>
      </c>
    </row>
    <row r="29" spans="1:13">
      <c r="A29" s="4">
        <v>24</v>
      </c>
      <c r="B29" s="4" t="s">
        <v>24</v>
      </c>
      <c r="C29" s="3" t="s">
        <v>169</v>
      </c>
      <c r="D29" s="3" t="s">
        <v>170</v>
      </c>
      <c r="E29" s="3" t="s">
        <v>171</v>
      </c>
      <c r="F29" s="3" t="s">
        <v>172</v>
      </c>
      <c r="G29" s="4" t="s">
        <v>92</v>
      </c>
      <c r="H29" s="4" t="s">
        <v>65</v>
      </c>
      <c r="I29" s="4" t="s">
        <v>173</v>
      </c>
      <c r="J29" s="4" t="s">
        <v>5</v>
      </c>
      <c r="K29" s="5"/>
      <c r="L29" s="3"/>
      <c r="M29" s="3" t="s">
        <v>67</v>
      </c>
    </row>
    <row r="30" spans="1:13">
      <c r="A30" s="4">
        <v>25</v>
      </c>
      <c r="B30" s="4" t="s">
        <v>24</v>
      </c>
      <c r="C30" s="3" t="s">
        <v>174</v>
      </c>
      <c r="D30" s="3" t="s">
        <v>175</v>
      </c>
      <c r="E30" s="3" t="s">
        <v>166</v>
      </c>
      <c r="F30" s="3" t="s">
        <v>176</v>
      </c>
      <c r="G30" s="4" t="s">
        <v>71</v>
      </c>
      <c r="H30" s="4" t="s">
        <v>83</v>
      </c>
      <c r="I30" s="4" t="s">
        <v>177</v>
      </c>
      <c r="J30" s="4" t="s">
        <v>5</v>
      </c>
      <c r="K30" s="5"/>
      <c r="L30" s="3"/>
      <c r="M30" s="3" t="s">
        <v>67</v>
      </c>
    </row>
    <row r="31" spans="1:13">
      <c r="A31" s="4">
        <v>26</v>
      </c>
      <c r="B31" s="4" t="s">
        <v>24</v>
      </c>
      <c r="C31" s="3" t="s">
        <v>178</v>
      </c>
      <c r="D31" s="3" t="s">
        <v>179</v>
      </c>
      <c r="E31" s="3" t="s">
        <v>166</v>
      </c>
      <c r="F31" s="3" t="s">
        <v>172</v>
      </c>
      <c r="G31" s="4" t="s">
        <v>64</v>
      </c>
      <c r="H31" s="4" t="s">
        <v>93</v>
      </c>
      <c r="I31" s="4" t="s">
        <v>180</v>
      </c>
      <c r="J31" s="4" t="s">
        <v>5</v>
      </c>
      <c r="K31" s="5"/>
      <c r="L31" s="3"/>
      <c r="M31" s="3" t="s">
        <v>67</v>
      </c>
    </row>
    <row r="32" spans="1:13">
      <c r="A32" s="4">
        <v>27</v>
      </c>
      <c r="B32" s="4" t="s">
        <v>24</v>
      </c>
      <c r="C32" s="3" t="s">
        <v>181</v>
      </c>
      <c r="D32" s="3" t="s">
        <v>182</v>
      </c>
      <c r="E32" s="3" t="s">
        <v>87</v>
      </c>
      <c r="F32" s="3" t="s">
        <v>183</v>
      </c>
      <c r="G32" s="4" t="s">
        <v>92</v>
      </c>
      <c r="H32" s="4" t="s">
        <v>93</v>
      </c>
      <c r="I32" s="4" t="s">
        <v>184</v>
      </c>
      <c r="J32" s="4" t="s">
        <v>5</v>
      </c>
      <c r="K32" s="5"/>
      <c r="L32" s="3"/>
      <c r="M32" s="3" t="s">
        <v>67</v>
      </c>
    </row>
    <row r="33" spans="1:13" ht="28">
      <c r="A33" s="4">
        <v>28</v>
      </c>
      <c r="B33" s="4" t="s">
        <v>24</v>
      </c>
      <c r="C33" s="3" t="s">
        <v>185</v>
      </c>
      <c r="D33" s="3" t="s">
        <v>186</v>
      </c>
      <c r="E33" s="3" t="s">
        <v>166</v>
      </c>
      <c r="F33" s="3" t="s">
        <v>187</v>
      </c>
      <c r="G33" s="4" t="s">
        <v>71</v>
      </c>
      <c r="H33" s="4" t="s">
        <v>83</v>
      </c>
      <c r="I33" s="4" t="s">
        <v>188</v>
      </c>
      <c r="J33" s="4" t="s">
        <v>5</v>
      </c>
      <c r="K33" s="5"/>
      <c r="L33" s="3"/>
      <c r="M33" s="3" t="s">
        <v>67</v>
      </c>
    </row>
    <row r="34" spans="1:13">
      <c r="A34" s="4">
        <v>29</v>
      </c>
      <c r="B34" s="4" t="s">
        <v>24</v>
      </c>
      <c r="C34" s="3" t="s">
        <v>189</v>
      </c>
      <c r="D34" s="3" t="s">
        <v>190</v>
      </c>
      <c r="E34" s="3" t="s">
        <v>166</v>
      </c>
      <c r="F34" s="3" t="s">
        <v>191</v>
      </c>
      <c r="G34" s="4" t="s">
        <v>71</v>
      </c>
      <c r="H34" s="4" t="s">
        <v>83</v>
      </c>
      <c r="I34" s="4" t="s">
        <v>192</v>
      </c>
      <c r="J34" s="4" t="s">
        <v>5</v>
      </c>
      <c r="K34" s="5"/>
      <c r="L34" s="3"/>
      <c r="M34" s="3" t="s">
        <v>67</v>
      </c>
    </row>
    <row r="35" spans="1:13">
      <c r="A35" s="4">
        <v>30</v>
      </c>
      <c r="B35" s="4" t="s">
        <v>27</v>
      </c>
      <c r="C35" s="3" t="s">
        <v>193</v>
      </c>
      <c r="D35" s="3" t="s">
        <v>194</v>
      </c>
      <c r="E35" s="3" t="s">
        <v>195</v>
      </c>
      <c r="F35" s="3" t="s">
        <v>196</v>
      </c>
      <c r="G35" s="4" t="s">
        <v>71</v>
      </c>
      <c r="H35" s="4" t="s">
        <v>65</v>
      </c>
      <c r="I35" s="4" t="s">
        <v>197</v>
      </c>
      <c r="J35" s="4" t="s">
        <v>5</v>
      </c>
      <c r="K35" s="5"/>
      <c r="L35" s="3"/>
      <c r="M35" s="3" t="s">
        <v>67</v>
      </c>
    </row>
    <row r="36" spans="1:13">
      <c r="A36" s="4">
        <v>31</v>
      </c>
      <c r="B36" s="4" t="s">
        <v>27</v>
      </c>
      <c r="C36" s="3" t="s">
        <v>198</v>
      </c>
      <c r="D36" s="3" t="s">
        <v>199</v>
      </c>
      <c r="E36" s="3" t="s">
        <v>200</v>
      </c>
      <c r="F36" s="3" t="s">
        <v>201</v>
      </c>
      <c r="G36" s="4" t="s">
        <v>64</v>
      </c>
      <c r="H36" s="4" t="s">
        <v>93</v>
      </c>
      <c r="I36" s="4" t="s">
        <v>202</v>
      </c>
      <c r="J36" s="4" t="s">
        <v>5</v>
      </c>
      <c r="K36" s="5"/>
      <c r="L36" s="3"/>
      <c r="M36" s="3" t="s">
        <v>67</v>
      </c>
    </row>
    <row r="37" spans="1:13">
      <c r="A37" s="4">
        <v>32</v>
      </c>
      <c r="B37" s="4" t="s">
        <v>27</v>
      </c>
      <c r="C37" s="3" t="s">
        <v>203</v>
      </c>
      <c r="D37" s="3" t="s">
        <v>204</v>
      </c>
      <c r="E37" s="3" t="s">
        <v>195</v>
      </c>
      <c r="F37" s="3" t="s">
        <v>205</v>
      </c>
      <c r="G37" s="4" t="s">
        <v>71</v>
      </c>
      <c r="H37" s="4" t="s">
        <v>65</v>
      </c>
      <c r="I37" s="4" t="s">
        <v>206</v>
      </c>
      <c r="J37" s="4" t="s">
        <v>5</v>
      </c>
      <c r="K37" s="5"/>
      <c r="L37" s="3"/>
      <c r="M37" s="3" t="s">
        <v>67</v>
      </c>
    </row>
    <row r="38" spans="1:13">
      <c r="A38" s="4">
        <v>33</v>
      </c>
      <c r="B38" s="4" t="s">
        <v>27</v>
      </c>
      <c r="C38" s="3" t="s">
        <v>207</v>
      </c>
      <c r="D38" s="3" t="s">
        <v>208</v>
      </c>
      <c r="E38" s="3" t="s">
        <v>195</v>
      </c>
      <c r="F38" s="3" t="s">
        <v>209</v>
      </c>
      <c r="G38" s="4" t="s">
        <v>71</v>
      </c>
      <c r="H38" s="4" t="s">
        <v>83</v>
      </c>
      <c r="I38" s="4" t="s">
        <v>210</v>
      </c>
      <c r="J38" s="4" t="s">
        <v>5</v>
      </c>
      <c r="K38" s="5"/>
      <c r="L38" s="3"/>
      <c r="M38" s="3" t="s">
        <v>67</v>
      </c>
    </row>
    <row r="39" spans="1:13">
      <c r="A39" s="4">
        <v>34</v>
      </c>
      <c r="B39" s="4" t="s">
        <v>27</v>
      </c>
      <c r="C39" s="3" t="s">
        <v>211</v>
      </c>
      <c r="D39" s="3" t="s">
        <v>212</v>
      </c>
      <c r="E39" s="3" t="s">
        <v>213</v>
      </c>
      <c r="F39" s="3" t="s">
        <v>214</v>
      </c>
      <c r="G39" s="4" t="s">
        <v>64</v>
      </c>
      <c r="H39" s="4" t="s">
        <v>93</v>
      </c>
      <c r="I39" s="4" t="s">
        <v>215</v>
      </c>
      <c r="J39" s="4" t="s">
        <v>5</v>
      </c>
      <c r="K39" s="5"/>
      <c r="L39" s="3"/>
      <c r="M39" s="3" t="s">
        <v>67</v>
      </c>
    </row>
    <row r="40" spans="1:13">
      <c r="A40" s="4">
        <v>35</v>
      </c>
      <c r="B40" s="4" t="s">
        <v>27</v>
      </c>
      <c r="C40" s="3" t="s">
        <v>216</v>
      </c>
      <c r="D40" s="3" t="s">
        <v>217</v>
      </c>
      <c r="E40" s="3" t="s">
        <v>200</v>
      </c>
      <c r="F40" s="3" t="s">
        <v>201</v>
      </c>
      <c r="G40" s="4" t="s">
        <v>152</v>
      </c>
      <c r="H40" s="4" t="s">
        <v>153</v>
      </c>
      <c r="I40" s="4" t="s">
        <v>218</v>
      </c>
      <c r="J40" s="4" t="s">
        <v>5</v>
      </c>
      <c r="K40" s="5"/>
      <c r="L40" s="3"/>
      <c r="M40" s="3" t="s">
        <v>67</v>
      </c>
    </row>
    <row r="41" spans="1:13" ht="28">
      <c r="A41" s="4">
        <v>36</v>
      </c>
      <c r="B41" s="4" t="s">
        <v>27</v>
      </c>
      <c r="C41" s="3" t="s">
        <v>219</v>
      </c>
      <c r="D41" s="3" t="s">
        <v>220</v>
      </c>
      <c r="E41" s="3" t="s">
        <v>221</v>
      </c>
      <c r="F41" s="3" t="s">
        <v>222</v>
      </c>
      <c r="G41" s="4" t="s">
        <v>71</v>
      </c>
      <c r="H41" s="4" t="s">
        <v>83</v>
      </c>
      <c r="I41" s="4" t="s">
        <v>223</v>
      </c>
      <c r="J41" s="4" t="s">
        <v>5</v>
      </c>
      <c r="K41" s="5"/>
      <c r="L41" s="3"/>
      <c r="M41" s="3" t="s">
        <v>67</v>
      </c>
    </row>
    <row r="42" spans="1:13" ht="28">
      <c r="A42" s="4">
        <v>37</v>
      </c>
      <c r="B42" s="4" t="s">
        <v>27</v>
      </c>
      <c r="C42" s="3" t="s">
        <v>224</v>
      </c>
      <c r="D42" s="3" t="s">
        <v>225</v>
      </c>
      <c r="E42" s="3" t="s">
        <v>226</v>
      </c>
      <c r="F42" s="3" t="s">
        <v>227</v>
      </c>
      <c r="G42" s="4" t="s">
        <v>71</v>
      </c>
      <c r="H42" s="4" t="s">
        <v>83</v>
      </c>
      <c r="I42" s="4" t="s">
        <v>228</v>
      </c>
      <c r="J42" s="4" t="s">
        <v>5</v>
      </c>
      <c r="K42" s="5"/>
      <c r="L42" s="3"/>
      <c r="M42" s="3" t="s">
        <v>67</v>
      </c>
    </row>
    <row r="43" spans="1:13">
      <c r="A43" s="4">
        <v>38</v>
      </c>
      <c r="B43" s="4" t="s">
        <v>27</v>
      </c>
      <c r="C43" s="3" t="s">
        <v>229</v>
      </c>
      <c r="D43" s="3" t="s">
        <v>230</v>
      </c>
      <c r="E43" s="3" t="s">
        <v>195</v>
      </c>
      <c r="F43" s="3" t="s">
        <v>231</v>
      </c>
      <c r="G43" s="4" t="s">
        <v>71</v>
      </c>
      <c r="H43" s="4" t="s">
        <v>83</v>
      </c>
      <c r="I43" s="4" t="s">
        <v>232</v>
      </c>
      <c r="J43" s="4" t="s">
        <v>5</v>
      </c>
      <c r="K43" s="5"/>
      <c r="L43" s="3"/>
      <c r="M43" s="3" t="s">
        <v>67</v>
      </c>
    </row>
    <row r="44" spans="1:13" ht="28">
      <c r="A44" s="4">
        <v>39</v>
      </c>
      <c r="B44" s="4" t="s">
        <v>27</v>
      </c>
      <c r="C44" s="3" t="s">
        <v>233</v>
      </c>
      <c r="D44" s="3" t="s">
        <v>234</v>
      </c>
      <c r="E44" s="3" t="s">
        <v>226</v>
      </c>
      <c r="F44" s="3" t="s">
        <v>235</v>
      </c>
      <c r="G44" s="4" t="s">
        <v>92</v>
      </c>
      <c r="H44" s="4" t="s">
        <v>65</v>
      </c>
      <c r="I44" s="4" t="s">
        <v>236</v>
      </c>
      <c r="J44" s="4" t="s">
        <v>5</v>
      </c>
      <c r="K44" s="5"/>
      <c r="L44" s="3"/>
      <c r="M44" s="3" t="s">
        <v>67</v>
      </c>
    </row>
    <row r="45" spans="1:13" ht="28">
      <c r="A45" s="4">
        <v>40</v>
      </c>
      <c r="B45" s="4" t="s">
        <v>27</v>
      </c>
      <c r="C45" s="3" t="s">
        <v>237</v>
      </c>
      <c r="D45" s="3" t="s">
        <v>238</v>
      </c>
      <c r="E45" s="3" t="s">
        <v>213</v>
      </c>
      <c r="F45" s="3" t="s">
        <v>239</v>
      </c>
      <c r="G45" s="4" t="s">
        <v>71</v>
      </c>
      <c r="H45" s="4" t="s">
        <v>83</v>
      </c>
      <c r="I45" s="4" t="s">
        <v>240</v>
      </c>
      <c r="J45" s="4" t="s">
        <v>5</v>
      </c>
      <c r="K45" s="5"/>
      <c r="L45" s="3"/>
      <c r="M45" s="3" t="s">
        <v>67</v>
      </c>
    </row>
    <row r="46" spans="1:13">
      <c r="A46" s="4">
        <v>41</v>
      </c>
      <c r="B46" s="4" t="s">
        <v>27</v>
      </c>
      <c r="C46" s="3" t="s">
        <v>241</v>
      </c>
      <c r="D46" s="3" t="s">
        <v>242</v>
      </c>
      <c r="E46" s="3" t="s">
        <v>213</v>
      </c>
      <c r="F46" s="3" t="s">
        <v>243</v>
      </c>
      <c r="G46" s="4" t="s">
        <v>71</v>
      </c>
      <c r="H46" s="4" t="s">
        <v>83</v>
      </c>
      <c r="I46" s="4" t="s">
        <v>244</v>
      </c>
      <c r="J46" s="4" t="s">
        <v>5</v>
      </c>
      <c r="K46" s="5"/>
      <c r="L46" s="3"/>
      <c r="M46" s="3" t="s">
        <v>245</v>
      </c>
    </row>
    <row r="47" spans="1:13">
      <c r="A47" s="4">
        <v>42</v>
      </c>
      <c r="B47" s="4" t="s">
        <v>27</v>
      </c>
      <c r="C47" s="3" t="s">
        <v>246</v>
      </c>
      <c r="D47" s="3" t="s">
        <v>247</v>
      </c>
      <c r="E47" s="3" t="s">
        <v>248</v>
      </c>
      <c r="F47" s="3" t="s">
        <v>249</v>
      </c>
      <c r="G47" s="4" t="s">
        <v>64</v>
      </c>
      <c r="H47" s="4" t="s">
        <v>65</v>
      </c>
      <c r="I47" s="4" t="s">
        <v>250</v>
      </c>
      <c r="J47" s="4" t="s">
        <v>5</v>
      </c>
      <c r="K47" s="5"/>
      <c r="L47" s="3"/>
      <c r="M47" s="3" t="s">
        <v>67</v>
      </c>
    </row>
    <row r="48" spans="1:13">
      <c r="A48" s="4">
        <v>43</v>
      </c>
      <c r="B48" s="4" t="s">
        <v>27</v>
      </c>
      <c r="C48" s="3" t="s">
        <v>251</v>
      </c>
      <c r="D48" s="3" t="s">
        <v>252</v>
      </c>
      <c r="E48" s="3" t="s">
        <v>253</v>
      </c>
      <c r="F48" s="3" t="s">
        <v>254</v>
      </c>
      <c r="G48" s="4" t="s">
        <v>71</v>
      </c>
      <c r="H48" s="4" t="s">
        <v>65</v>
      </c>
      <c r="I48" s="4" t="s">
        <v>255</v>
      </c>
      <c r="J48" s="4" t="s">
        <v>5</v>
      </c>
      <c r="K48" s="5"/>
      <c r="L48" s="3"/>
      <c r="M48" s="3" t="s">
        <v>67</v>
      </c>
    </row>
    <row r="49" spans="1:13">
      <c r="A49" s="4">
        <v>44</v>
      </c>
      <c r="B49" s="4" t="s">
        <v>27</v>
      </c>
      <c r="C49" s="3" t="s">
        <v>256</v>
      </c>
      <c r="D49" s="3" t="s">
        <v>257</v>
      </c>
      <c r="E49" s="3" t="s">
        <v>253</v>
      </c>
      <c r="F49" s="3" t="s">
        <v>258</v>
      </c>
      <c r="G49" s="4" t="s">
        <v>92</v>
      </c>
      <c r="H49" s="4" t="s">
        <v>65</v>
      </c>
      <c r="I49" s="4" t="s">
        <v>259</v>
      </c>
      <c r="J49" s="4" t="s">
        <v>5</v>
      </c>
      <c r="K49" s="5"/>
      <c r="L49" s="3"/>
      <c r="M49" s="3" t="s">
        <v>67</v>
      </c>
    </row>
    <row r="50" spans="1:13">
      <c r="A50" s="4">
        <v>45</v>
      </c>
      <c r="B50" s="4" t="s">
        <v>27</v>
      </c>
      <c r="C50" s="3" t="s">
        <v>260</v>
      </c>
      <c r="D50" s="3" t="s">
        <v>261</v>
      </c>
      <c r="E50" s="3" t="s">
        <v>253</v>
      </c>
      <c r="F50" s="3" t="s">
        <v>262</v>
      </c>
      <c r="G50" s="4" t="s">
        <v>92</v>
      </c>
      <c r="H50" s="4" t="s">
        <v>93</v>
      </c>
      <c r="I50" s="4" t="s">
        <v>263</v>
      </c>
      <c r="J50" s="4" t="s">
        <v>5</v>
      </c>
      <c r="K50" s="5"/>
      <c r="L50" s="3"/>
      <c r="M50" s="3" t="s">
        <v>67</v>
      </c>
    </row>
    <row r="51" spans="1:13">
      <c r="A51" s="4">
        <v>46</v>
      </c>
      <c r="B51" s="4" t="s">
        <v>30</v>
      </c>
      <c r="C51" s="3" t="s">
        <v>264</v>
      </c>
      <c r="D51" s="3" t="s">
        <v>265</v>
      </c>
      <c r="E51" s="3" t="s">
        <v>266</v>
      </c>
      <c r="F51" s="3" t="s">
        <v>267</v>
      </c>
      <c r="G51" s="4" t="s">
        <v>71</v>
      </c>
      <c r="H51" s="4" t="s">
        <v>83</v>
      </c>
      <c r="I51" s="4" t="s">
        <v>268</v>
      </c>
      <c r="J51" s="4" t="s">
        <v>5</v>
      </c>
      <c r="K51" s="5"/>
      <c r="L51" s="3"/>
      <c r="M51" s="3" t="s">
        <v>67</v>
      </c>
    </row>
    <row r="52" spans="1:13">
      <c r="A52" s="4">
        <v>47</v>
      </c>
      <c r="B52" s="4" t="s">
        <v>30</v>
      </c>
      <c r="C52" s="3" t="s">
        <v>269</v>
      </c>
      <c r="D52" s="3" t="s">
        <v>270</v>
      </c>
      <c r="E52" s="3" t="s">
        <v>266</v>
      </c>
      <c r="F52" s="3" t="s">
        <v>271</v>
      </c>
      <c r="G52" s="4" t="s">
        <v>71</v>
      </c>
      <c r="H52" s="4" t="s">
        <v>65</v>
      </c>
      <c r="I52" s="4" t="s">
        <v>272</v>
      </c>
      <c r="J52" s="4" t="s">
        <v>5</v>
      </c>
      <c r="K52" s="5"/>
      <c r="L52" s="3"/>
      <c r="M52" s="3" t="s">
        <v>67</v>
      </c>
    </row>
    <row r="53" spans="1:13" ht="28">
      <c r="A53" s="4">
        <v>48</v>
      </c>
      <c r="B53" s="4" t="s">
        <v>30</v>
      </c>
      <c r="C53" s="3" t="s">
        <v>273</v>
      </c>
      <c r="D53" s="3" t="s">
        <v>274</v>
      </c>
      <c r="E53" s="3" t="s">
        <v>266</v>
      </c>
      <c r="F53" s="3" t="s">
        <v>275</v>
      </c>
      <c r="G53" s="4" t="s">
        <v>71</v>
      </c>
      <c r="H53" s="4" t="s">
        <v>83</v>
      </c>
      <c r="I53" s="4" t="s">
        <v>276</v>
      </c>
      <c r="J53" s="4" t="s">
        <v>5</v>
      </c>
      <c r="K53" s="5"/>
      <c r="L53" s="3"/>
      <c r="M53" s="3" t="s">
        <v>67</v>
      </c>
    </row>
    <row r="54" spans="1:13" ht="28">
      <c r="A54" s="4">
        <v>49</v>
      </c>
      <c r="B54" s="4" t="s">
        <v>30</v>
      </c>
      <c r="C54" s="3" t="s">
        <v>277</v>
      </c>
      <c r="D54" s="3" t="s">
        <v>278</v>
      </c>
      <c r="E54" s="3" t="s">
        <v>266</v>
      </c>
      <c r="F54" s="3" t="s">
        <v>279</v>
      </c>
      <c r="G54" s="4" t="s">
        <v>71</v>
      </c>
      <c r="H54" s="4" t="s">
        <v>83</v>
      </c>
      <c r="I54" s="4" t="s">
        <v>280</v>
      </c>
      <c r="J54" s="4" t="s">
        <v>5</v>
      </c>
      <c r="K54" s="5"/>
      <c r="L54" s="3"/>
      <c r="M54" s="3" t="s">
        <v>67</v>
      </c>
    </row>
    <row r="55" spans="1:13">
      <c r="A55" s="4">
        <v>50</v>
      </c>
      <c r="B55" s="4" t="s">
        <v>30</v>
      </c>
      <c r="C55" s="3" t="s">
        <v>281</v>
      </c>
      <c r="D55" s="3" t="s">
        <v>282</v>
      </c>
      <c r="E55" s="3" t="s">
        <v>266</v>
      </c>
      <c r="F55" s="3" t="s">
        <v>283</v>
      </c>
      <c r="G55" s="4" t="s">
        <v>71</v>
      </c>
      <c r="H55" s="4" t="s">
        <v>83</v>
      </c>
      <c r="I55" s="4" t="s">
        <v>284</v>
      </c>
      <c r="J55" s="4" t="s">
        <v>5</v>
      </c>
      <c r="K55" s="5"/>
      <c r="L55" s="3"/>
      <c r="M55" s="3" t="s">
        <v>67</v>
      </c>
    </row>
    <row r="56" spans="1:13">
      <c r="A56" s="4">
        <v>51</v>
      </c>
      <c r="B56" s="4" t="s">
        <v>30</v>
      </c>
      <c r="C56" s="3" t="s">
        <v>285</v>
      </c>
      <c r="D56" s="3" t="s">
        <v>286</v>
      </c>
      <c r="E56" s="3" t="s">
        <v>266</v>
      </c>
      <c r="F56" s="3" t="s">
        <v>287</v>
      </c>
      <c r="G56" s="4" t="s">
        <v>64</v>
      </c>
      <c r="H56" s="4" t="s">
        <v>93</v>
      </c>
      <c r="I56" s="4" t="s">
        <v>288</v>
      </c>
      <c r="J56" s="4" t="s">
        <v>5</v>
      </c>
      <c r="K56" s="5"/>
      <c r="L56" s="3"/>
      <c r="M56" s="3" t="s">
        <v>67</v>
      </c>
    </row>
    <row r="57" spans="1:13">
      <c r="A57" s="4">
        <v>52</v>
      </c>
      <c r="B57" s="4" t="s">
        <v>30</v>
      </c>
      <c r="C57" s="3" t="s">
        <v>289</v>
      </c>
      <c r="D57" s="3" t="s">
        <v>290</v>
      </c>
      <c r="E57" s="3" t="s">
        <v>266</v>
      </c>
      <c r="F57" s="3" t="s">
        <v>291</v>
      </c>
      <c r="G57" s="4" t="s">
        <v>64</v>
      </c>
      <c r="H57" s="4" t="s">
        <v>93</v>
      </c>
      <c r="I57" s="4" t="s">
        <v>292</v>
      </c>
      <c r="J57" s="4" t="s">
        <v>5</v>
      </c>
      <c r="K57" s="5"/>
      <c r="L57" s="3"/>
      <c r="M57" s="3" t="s">
        <v>67</v>
      </c>
    </row>
    <row r="58" spans="1:13">
      <c r="A58" s="4">
        <v>53</v>
      </c>
      <c r="B58" s="4" t="s">
        <v>30</v>
      </c>
      <c r="C58" s="3" t="s">
        <v>293</v>
      </c>
      <c r="D58" s="3" t="s">
        <v>294</v>
      </c>
      <c r="E58" s="3" t="s">
        <v>295</v>
      </c>
      <c r="F58" s="3" t="s">
        <v>296</v>
      </c>
      <c r="G58" s="4" t="s">
        <v>92</v>
      </c>
      <c r="H58" s="4" t="s">
        <v>65</v>
      </c>
      <c r="I58" s="4" t="s">
        <v>297</v>
      </c>
      <c r="J58" s="4" t="s">
        <v>5</v>
      </c>
      <c r="K58" s="5"/>
      <c r="L58" s="3"/>
      <c r="M58" s="3" t="s">
        <v>67</v>
      </c>
    </row>
    <row r="59" spans="1:13">
      <c r="A59" s="4">
        <v>54</v>
      </c>
      <c r="B59" s="4" t="s">
        <v>30</v>
      </c>
      <c r="C59" s="3" t="s">
        <v>298</v>
      </c>
      <c r="D59" s="3" t="s">
        <v>299</v>
      </c>
      <c r="E59" s="3" t="s">
        <v>300</v>
      </c>
      <c r="F59" s="3" t="s">
        <v>301</v>
      </c>
      <c r="G59" s="4" t="s">
        <v>152</v>
      </c>
      <c r="H59" s="4" t="s">
        <v>153</v>
      </c>
      <c r="I59" s="4" t="s">
        <v>302</v>
      </c>
      <c r="J59" s="4" t="s">
        <v>5</v>
      </c>
      <c r="K59" s="5"/>
      <c r="L59" s="3"/>
      <c r="M59" s="3" t="s">
        <v>67</v>
      </c>
    </row>
    <row r="60" spans="1:13" ht="28">
      <c r="A60" s="4">
        <v>55</v>
      </c>
      <c r="B60" s="4" t="s">
        <v>30</v>
      </c>
      <c r="C60" s="3" t="s">
        <v>303</v>
      </c>
      <c r="D60" s="3" t="s">
        <v>304</v>
      </c>
      <c r="E60" s="3" t="s">
        <v>305</v>
      </c>
      <c r="F60" s="3" t="s">
        <v>306</v>
      </c>
      <c r="G60" s="4" t="s">
        <v>71</v>
      </c>
      <c r="H60" s="4" t="s">
        <v>83</v>
      </c>
      <c r="I60" s="4" t="s">
        <v>307</v>
      </c>
      <c r="J60" s="4" t="s">
        <v>5</v>
      </c>
      <c r="K60" s="5"/>
      <c r="L60" s="3"/>
      <c r="M60" s="3" t="s">
        <v>308</v>
      </c>
    </row>
    <row r="61" spans="1:13" ht="28">
      <c r="A61" s="4">
        <v>56</v>
      </c>
      <c r="B61" s="4" t="s">
        <v>30</v>
      </c>
      <c r="C61" s="3" t="s">
        <v>309</v>
      </c>
      <c r="D61" s="3" t="s">
        <v>310</v>
      </c>
      <c r="E61" s="3" t="s">
        <v>311</v>
      </c>
      <c r="F61" s="3" t="s">
        <v>312</v>
      </c>
      <c r="G61" s="4" t="s">
        <v>92</v>
      </c>
      <c r="H61" s="4" t="s">
        <v>65</v>
      </c>
      <c r="I61" s="4" t="s">
        <v>313</v>
      </c>
      <c r="J61" s="4" t="s">
        <v>5</v>
      </c>
      <c r="K61" s="5"/>
      <c r="L61" s="3"/>
      <c r="M61" s="3" t="s">
        <v>67</v>
      </c>
    </row>
    <row r="62" spans="1:13">
      <c r="A62" s="4">
        <v>57</v>
      </c>
      <c r="B62" s="4" t="s">
        <v>33</v>
      </c>
      <c r="C62" s="3" t="s">
        <v>314</v>
      </c>
      <c r="D62" s="3" t="s">
        <v>315</v>
      </c>
      <c r="E62" s="3" t="s">
        <v>316</v>
      </c>
      <c r="F62" s="3" t="s">
        <v>317</v>
      </c>
      <c r="G62" s="4" t="s">
        <v>64</v>
      </c>
      <c r="H62" s="4" t="s">
        <v>93</v>
      </c>
      <c r="I62" s="4" t="s">
        <v>318</v>
      </c>
      <c r="J62" s="4" t="s">
        <v>5</v>
      </c>
      <c r="K62" s="5"/>
      <c r="L62" s="3"/>
      <c r="M62" s="3" t="s">
        <v>67</v>
      </c>
    </row>
    <row r="63" spans="1:13">
      <c r="A63" s="4">
        <v>58</v>
      </c>
      <c r="B63" s="4" t="s">
        <v>33</v>
      </c>
      <c r="C63" s="3" t="s">
        <v>319</v>
      </c>
      <c r="D63" s="3" t="s">
        <v>320</v>
      </c>
      <c r="E63" s="3" t="s">
        <v>311</v>
      </c>
      <c r="F63" s="3" t="s">
        <v>321</v>
      </c>
      <c r="G63" s="4" t="s">
        <v>152</v>
      </c>
      <c r="H63" s="4" t="s">
        <v>153</v>
      </c>
      <c r="I63" s="4" t="s">
        <v>322</v>
      </c>
      <c r="J63" s="4" t="s">
        <v>5</v>
      </c>
      <c r="K63" s="5"/>
      <c r="L63" s="3"/>
      <c r="M63" s="3" t="s">
        <v>67</v>
      </c>
    </row>
    <row r="64" spans="1:13">
      <c r="A64" s="4">
        <v>59</v>
      </c>
      <c r="B64" s="4" t="s">
        <v>33</v>
      </c>
      <c r="C64" s="3" t="s">
        <v>323</v>
      </c>
      <c r="D64" s="3" t="s">
        <v>324</v>
      </c>
      <c r="E64" s="3" t="s">
        <v>87</v>
      </c>
      <c r="F64" s="3" t="s">
        <v>325</v>
      </c>
      <c r="G64" s="4" t="s">
        <v>71</v>
      </c>
      <c r="H64" s="4" t="s">
        <v>65</v>
      </c>
      <c r="I64" s="4" t="s">
        <v>326</v>
      </c>
      <c r="J64" s="4" t="s">
        <v>5</v>
      </c>
      <c r="K64" s="5"/>
      <c r="L64" s="3"/>
      <c r="M64" s="3" t="s">
        <v>67</v>
      </c>
    </row>
    <row r="65" spans="1:13">
      <c r="A65" s="4">
        <v>60</v>
      </c>
      <c r="B65" s="4" t="s">
        <v>33</v>
      </c>
      <c r="C65" s="3" t="s">
        <v>327</v>
      </c>
      <c r="D65" s="3" t="s">
        <v>328</v>
      </c>
      <c r="E65" s="3" t="s">
        <v>311</v>
      </c>
      <c r="F65" s="3" t="s">
        <v>329</v>
      </c>
      <c r="G65" s="4" t="s">
        <v>92</v>
      </c>
      <c r="H65" s="4" t="s">
        <v>65</v>
      </c>
      <c r="I65" s="4" t="s">
        <v>330</v>
      </c>
      <c r="J65" s="4" t="s">
        <v>5</v>
      </c>
      <c r="K65" s="5"/>
      <c r="L65" s="3"/>
      <c r="M65" s="3" t="s">
        <v>67</v>
      </c>
    </row>
    <row r="66" spans="1:13">
      <c r="A66" s="4">
        <v>61</v>
      </c>
      <c r="B66" s="4" t="s">
        <v>33</v>
      </c>
      <c r="C66" s="3" t="s">
        <v>331</v>
      </c>
      <c r="D66" s="3" t="s">
        <v>332</v>
      </c>
      <c r="E66" s="3" t="s">
        <v>333</v>
      </c>
      <c r="F66" s="3" t="s">
        <v>334</v>
      </c>
      <c r="G66" s="4" t="s">
        <v>335</v>
      </c>
      <c r="H66" s="4" t="s">
        <v>153</v>
      </c>
      <c r="I66" s="4" t="s">
        <v>336</v>
      </c>
      <c r="J66" s="4" t="s">
        <v>5</v>
      </c>
      <c r="K66" s="5"/>
      <c r="L66" s="3"/>
      <c r="M66" s="3" t="s">
        <v>67</v>
      </c>
    </row>
    <row r="67" spans="1:13">
      <c r="A67" s="4">
        <v>62</v>
      </c>
      <c r="B67" s="4" t="s">
        <v>33</v>
      </c>
      <c r="C67" s="3" t="s">
        <v>337</v>
      </c>
      <c r="D67" s="3" t="s">
        <v>338</v>
      </c>
      <c r="E67" s="3" t="s">
        <v>333</v>
      </c>
      <c r="F67" s="3" t="s">
        <v>339</v>
      </c>
      <c r="G67" s="4" t="s">
        <v>335</v>
      </c>
      <c r="H67" s="4" t="s">
        <v>153</v>
      </c>
      <c r="I67" s="4" t="s">
        <v>340</v>
      </c>
      <c r="J67" s="4" t="s">
        <v>5</v>
      </c>
      <c r="K67" s="5"/>
      <c r="L67" s="3"/>
      <c r="M67" s="3" t="s">
        <v>67</v>
      </c>
    </row>
    <row r="68" spans="1:13">
      <c r="A68" s="4">
        <v>63</v>
      </c>
      <c r="B68" s="4" t="s">
        <v>33</v>
      </c>
      <c r="C68" s="3" t="s">
        <v>341</v>
      </c>
      <c r="D68" s="3" t="s">
        <v>342</v>
      </c>
      <c r="E68" s="3" t="s">
        <v>333</v>
      </c>
      <c r="F68" s="3" t="s">
        <v>339</v>
      </c>
      <c r="G68" s="4" t="s">
        <v>335</v>
      </c>
      <c r="H68" s="4" t="s">
        <v>153</v>
      </c>
      <c r="I68" s="4" t="s">
        <v>343</v>
      </c>
      <c r="J68" s="4" t="s">
        <v>5</v>
      </c>
      <c r="K68" s="5"/>
      <c r="L68" s="3"/>
      <c r="M68" s="3" t="s">
        <v>67</v>
      </c>
    </row>
    <row r="69" spans="1:13">
      <c r="A69" s="4">
        <v>64</v>
      </c>
      <c r="B69" s="4" t="s">
        <v>33</v>
      </c>
      <c r="C69" s="3" t="s">
        <v>344</v>
      </c>
      <c r="D69" s="3" t="s">
        <v>345</v>
      </c>
      <c r="E69" s="3" t="s">
        <v>213</v>
      </c>
      <c r="F69" s="3" t="s">
        <v>346</v>
      </c>
      <c r="G69" s="4" t="s">
        <v>64</v>
      </c>
      <c r="H69" s="4" t="s">
        <v>65</v>
      </c>
      <c r="I69" s="4" t="s">
        <v>347</v>
      </c>
      <c r="J69" s="4" t="s">
        <v>5</v>
      </c>
      <c r="K69" s="5"/>
      <c r="L69" s="3"/>
      <c r="M69" s="3" t="s">
        <v>67</v>
      </c>
    </row>
    <row r="70" spans="1:13">
      <c r="A70" s="4">
        <v>65</v>
      </c>
      <c r="B70" s="4" t="s">
        <v>36</v>
      </c>
      <c r="C70" s="3" t="s">
        <v>348</v>
      </c>
      <c r="D70" s="3" t="s">
        <v>349</v>
      </c>
      <c r="E70" s="3" t="s">
        <v>333</v>
      </c>
      <c r="F70" s="3" t="s">
        <v>350</v>
      </c>
      <c r="G70" s="4" t="s">
        <v>152</v>
      </c>
      <c r="H70" s="4" t="s">
        <v>153</v>
      </c>
      <c r="I70" s="4" t="s">
        <v>351</v>
      </c>
      <c r="J70" s="4" t="s">
        <v>5</v>
      </c>
      <c r="K70" s="5"/>
      <c r="L70" s="3"/>
      <c r="M70" s="3" t="s">
        <v>67</v>
      </c>
    </row>
    <row r="71" spans="1:13">
      <c r="A71" s="4">
        <v>66</v>
      </c>
      <c r="B71" s="4" t="s">
        <v>39</v>
      </c>
      <c r="C71" s="3" t="s">
        <v>352</v>
      </c>
      <c r="D71" s="3" t="s">
        <v>353</v>
      </c>
      <c r="E71" s="3" t="s">
        <v>333</v>
      </c>
      <c r="F71" s="3" t="s">
        <v>354</v>
      </c>
      <c r="G71" s="4" t="s">
        <v>335</v>
      </c>
      <c r="H71" s="4" t="s">
        <v>153</v>
      </c>
      <c r="I71" s="4" t="s">
        <v>355</v>
      </c>
      <c r="J71" s="4" t="s">
        <v>5</v>
      </c>
      <c r="K71" s="5"/>
      <c r="L71" s="3"/>
      <c r="M71" s="3" t="s">
        <v>67</v>
      </c>
    </row>
    <row r="72" spans="1:13">
      <c r="A72" s="4">
        <v>67</v>
      </c>
      <c r="B72" s="4" t="s">
        <v>43</v>
      </c>
      <c r="C72" s="3" t="s">
        <v>356</v>
      </c>
      <c r="D72" s="3" t="s">
        <v>357</v>
      </c>
      <c r="E72" s="3" t="s">
        <v>358</v>
      </c>
      <c r="F72" s="3" t="s">
        <v>359</v>
      </c>
      <c r="G72" s="4" t="s">
        <v>335</v>
      </c>
      <c r="H72" s="4" t="s">
        <v>93</v>
      </c>
      <c r="I72" s="4" t="s">
        <v>360</v>
      </c>
      <c r="J72" s="4" t="s">
        <v>5</v>
      </c>
      <c r="K72" s="5"/>
      <c r="L72" s="3"/>
      <c r="M72" s="3" t="s">
        <v>67</v>
      </c>
    </row>
    <row r="73" spans="1:13">
      <c r="A73" s="4">
        <v>68</v>
      </c>
      <c r="B73" s="4" t="s">
        <v>44</v>
      </c>
      <c r="C73" s="3" t="s">
        <v>361</v>
      </c>
      <c r="D73" s="3" t="s">
        <v>362</v>
      </c>
      <c r="E73" s="3" t="s">
        <v>333</v>
      </c>
      <c r="F73" s="3" t="s">
        <v>359</v>
      </c>
      <c r="G73" s="4" t="s">
        <v>335</v>
      </c>
      <c r="H73" s="4" t="s">
        <v>153</v>
      </c>
      <c r="I73" s="4" t="s">
        <v>363</v>
      </c>
      <c r="J73" s="4" t="s">
        <v>5</v>
      </c>
      <c r="K73" s="5"/>
      <c r="L73" s="3"/>
      <c r="M73" s="3" t="s">
        <v>67</v>
      </c>
    </row>
  </sheetData>
  <mergeCells count="2">
    <mergeCell ref="A1:M1"/>
    <mergeCell ref="A2:M2"/>
  </mergeCells>
  <phoneticPr fontId="8" type="noConversion"/>
  <conditionalFormatting sqref="A6:M73">
    <cfRule type="expression" dxfId="5" priority="1">
      <formula>$J6="已完成"</formula>
    </cfRule>
    <cfRule type="expression" dxfId="4" priority="2">
      <formula>$J6="进行中"</formula>
    </cfRule>
  </conditionalFormatting>
  <conditionalFormatting sqref="G6:G73">
    <cfRule type="expression" dxfId="3" priority="5">
      <formula>$G6="★★★★★"</formula>
    </cfRule>
    <cfRule type="expression" dxfId="2" priority="6">
      <formula>$G6="★★★★"</formula>
    </cfRule>
  </conditionalFormatting>
  <conditionalFormatting sqref="H6:H73">
    <cfRule type="expression" dxfId="1" priority="3">
      <formula>$H6="最高"</formula>
    </cfRule>
    <cfRule type="expression" dxfId="0" priority="4">
      <formula>$H6="高"</formula>
    </cfRule>
  </conditionalFormatting>
  <dataValidations count="1">
    <dataValidation type="list" sqref="J6:J73" xr:uid="{00000000-0002-0000-0100-000000000000}">
      <formula1>"未开始,进行中,已完成"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D4" sqref="D4"/>
    </sheetView>
  </sheetViews>
  <sheetFormatPr defaultRowHeight="14"/>
  <cols>
    <col min="1" max="1" width="16" customWidth="1"/>
    <col min="2" max="2" width="44" customWidth="1"/>
    <col min="3" max="3" width="42" customWidth="1"/>
    <col min="4" max="4" width="55" customWidth="1"/>
  </cols>
  <sheetData>
    <row r="1" spans="1:4">
      <c r="A1" s="1" t="s">
        <v>364</v>
      </c>
      <c r="B1" s="1" t="s">
        <v>15</v>
      </c>
      <c r="C1" s="1" t="s">
        <v>365</v>
      </c>
      <c r="D1" s="1" t="s">
        <v>366</v>
      </c>
    </row>
    <row r="2" spans="1:4" ht="28">
      <c r="A2" s="10" t="s">
        <v>5</v>
      </c>
      <c r="B2" s="2" t="s">
        <v>367</v>
      </c>
      <c r="C2" s="2" t="s">
        <v>368</v>
      </c>
      <c r="D2" s="2" t="s">
        <v>369</v>
      </c>
    </row>
    <row r="3" spans="1:4">
      <c r="A3" s="10" t="s">
        <v>4</v>
      </c>
      <c r="B3" s="2" t="s">
        <v>370</v>
      </c>
      <c r="C3" s="2" t="s">
        <v>371</v>
      </c>
      <c r="D3" s="2" t="s">
        <v>67</v>
      </c>
    </row>
    <row r="4" spans="1:4">
      <c r="A4" s="10" t="s">
        <v>3</v>
      </c>
      <c r="B4" s="2" t="s">
        <v>372</v>
      </c>
      <c r="C4" s="2" t="s">
        <v>373</v>
      </c>
      <c r="D4" s="12" t="s">
        <v>381</v>
      </c>
    </row>
    <row r="5" spans="1:4">
      <c r="A5" s="2"/>
      <c r="B5" s="2"/>
      <c r="C5" s="2" t="s">
        <v>374</v>
      </c>
      <c r="D5" s="2" t="s">
        <v>308</v>
      </c>
    </row>
    <row r="6" spans="1:4">
      <c r="A6" s="2"/>
      <c r="B6" s="2"/>
      <c r="C6" s="2"/>
      <c r="D6" s="2"/>
    </row>
    <row r="7" spans="1:4">
      <c r="A7" s="2" t="s">
        <v>375</v>
      </c>
      <c r="B7" s="2" t="s">
        <v>376</v>
      </c>
      <c r="C7" s="2"/>
      <c r="D7" s="2"/>
    </row>
    <row r="8" spans="1:4">
      <c r="A8" s="11" t="s">
        <v>377</v>
      </c>
      <c r="B8" s="11" t="s">
        <v>378</v>
      </c>
      <c r="C8" s="2"/>
      <c r="D8" s="2"/>
    </row>
  </sheetData>
  <phoneticPr fontId="8" type="noConversion"/>
  <hyperlinks>
    <hyperlink ref="D4" r:id="rId1" xr:uid="{8A0AAACE-4BA9-462E-AB42-9EAECD6053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学习总览</vt:lpstr>
      <vt:lpstr>学习TODO</vt:lpstr>
      <vt:lpstr>状态选项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 Z</cp:lastModifiedBy>
  <dcterms:modified xsi:type="dcterms:W3CDTF">2026-09-16T08:50:03Z</dcterms:modified>
</cp:coreProperties>
</file>